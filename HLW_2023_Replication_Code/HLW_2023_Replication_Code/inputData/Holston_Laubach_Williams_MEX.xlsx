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\CEPAL\Tasa-Natural-de-Interes\HLW_2023_Replication_Code\HLW_2023_Replication_Code\inputData\"/>
    </mc:Choice>
  </mc:AlternateContent>
  <xr:revisionPtr revIDLastSave="0" documentId="13_ncr:1_{67CF5219-EB05-497E-B1FD-F1A6553B46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X Input Data" sheetId="1" r:id="rId1"/>
    <sheet name="trunca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" l="1"/>
  <c r="H2" i="2" a="1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2" i="1"/>
  <c r="H2" i="1" a="1"/>
  <c r="H2" i="2" l="1"/>
  <c r="I35" i="2"/>
  <c r="I50" i="2"/>
  <c r="I57" i="2"/>
  <c r="I48" i="2"/>
  <c r="I40" i="2"/>
  <c r="I37" i="2"/>
  <c r="I36" i="2"/>
  <c r="I26" i="2"/>
  <c r="I23" i="2"/>
  <c r="I22" i="2"/>
  <c r="I19" i="2"/>
  <c r="I18" i="2"/>
  <c r="I15" i="2"/>
  <c r="I12" i="2"/>
  <c r="I6" i="2"/>
  <c r="I4" i="2"/>
  <c r="I54" i="2"/>
  <c r="I53" i="2"/>
  <c r="I32" i="2"/>
  <c r="I27" i="2"/>
  <c r="I24" i="2"/>
  <c r="I21" i="2"/>
  <c r="I16" i="2"/>
  <c r="I14" i="2"/>
  <c r="I11" i="2"/>
  <c r="I10" i="2"/>
  <c r="I8" i="2"/>
  <c r="I56" i="2"/>
  <c r="I52" i="2"/>
  <c r="I9" i="2"/>
  <c r="I5" i="2"/>
  <c r="I3" i="2"/>
  <c r="I55" i="2"/>
  <c r="I51" i="2"/>
  <c r="I47" i="2"/>
  <c r="I46" i="2"/>
  <c r="I45" i="2"/>
  <c r="I44" i="2"/>
  <c r="I43" i="2"/>
  <c r="I42" i="2"/>
  <c r="I41" i="2"/>
  <c r="I39" i="2"/>
  <c r="I38" i="2"/>
  <c r="I34" i="2"/>
  <c r="I33" i="2"/>
  <c r="I31" i="2"/>
  <c r="I30" i="2"/>
  <c r="I29" i="2"/>
  <c r="I28" i="2"/>
  <c r="I25" i="2"/>
  <c r="I20" i="2"/>
  <c r="I17" i="2"/>
  <c r="I13" i="2"/>
  <c r="I7" i="2"/>
  <c r="I2" i="2"/>
  <c r="I49" i="2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<sst xmlns="http://schemas.openxmlformats.org/spreadsheetml/2006/main" count="18" uniqueCount="9">
  <si>
    <t>gdp.log</t>
  </si>
  <si>
    <t>inflation</t>
  </si>
  <si>
    <t>inflation.expectations</t>
  </si>
  <si>
    <t>interest</t>
  </si>
  <si>
    <t>covid.indicator</t>
  </si>
  <si>
    <t>Date</t>
  </si>
  <si>
    <t>trend</t>
  </si>
  <si>
    <t>output.gap</t>
  </si>
  <si>
    <t>real.rate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</si>
</sst>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activeCell="D22" sqref="D22"/>
    </sheetView>
  </sheetViews>
  <sheetFormatPr defaultRowHeight="14.5" x14ac:dyDescent="0.35"/>
  <cols>
    <col min="1" max="1" width="17.81640625" bestFit="1" customWidth="1"/>
    <col min="4" max="4" width="19.90625" bestFit="1" customWidth="1"/>
  </cols>
  <sheetData>
    <row r="1" spans="1:11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3" t="s">
        <v>6</v>
      </c>
      <c r="I1" s="3" t="s">
        <v>7</v>
      </c>
      <c r="J1" s="3" t="s">
        <v>8</v>
      </c>
      <c r="K1">
        <f>CORREL(E18:E55, J17:J54)</f>
        <v>0.6598851497040138</v>
      </c>
    </row>
    <row r="2" spans="1:11" x14ac:dyDescent="0.35">
      <c r="A2" s="2">
        <v>38718</v>
      </c>
      <c r="B2">
        <v>16.481314125229371</v>
      </c>
      <c r="C2">
        <v>3.3717526658161301</v>
      </c>
      <c r="D2">
        <v>3.120358308939347</v>
      </c>
      <c r="E2">
        <v>7.8033333333333337</v>
      </c>
      <c r="F2">
        <v>0</v>
      </c>
      <c r="H2" cm="1">
        <f t="array" ref="H2:H70">TREND(B2:B70)</f>
        <v>16.478665258017713</v>
      </c>
      <c r="I2">
        <f>B2-H2</f>
        <v>2.6488672116578016E-3</v>
      </c>
      <c r="J2">
        <f>E2-C2</f>
        <v>4.4315806675172036</v>
      </c>
    </row>
    <row r="3" spans="1:11" x14ac:dyDescent="0.35">
      <c r="A3" s="2">
        <v>38808</v>
      </c>
      <c r="B3">
        <v>16.491020253161452</v>
      </c>
      <c r="C3">
        <v>3.69967348980067</v>
      </c>
      <c r="D3">
        <v>3.3160035047399901</v>
      </c>
      <c r="E3">
        <v>7.0766666666666671</v>
      </c>
      <c r="F3">
        <v>0</v>
      </c>
      <c r="H3">
        <v>16.482819189573114</v>
      </c>
      <c r="I3">
        <f t="shared" ref="I3:I66" si="0">B3-H3</f>
        <v>8.2010635883378313E-3</v>
      </c>
      <c r="J3">
        <f t="shared" ref="J3:J66" si="1">E3-C3</f>
        <v>3.3769931768659971</v>
      </c>
    </row>
    <row r="4" spans="1:11" x14ac:dyDescent="0.35">
      <c r="A4" s="2">
        <v>38899</v>
      </c>
      <c r="B4">
        <v>16.493766986488239</v>
      </c>
      <c r="C4">
        <v>3.2615284516982261</v>
      </c>
      <c r="D4">
        <v>3.435945268513696</v>
      </c>
      <c r="E4">
        <v>7.0366666666666662</v>
      </c>
      <c r="F4">
        <v>0</v>
      </c>
      <c r="H4">
        <v>16.486973121128518</v>
      </c>
      <c r="I4">
        <f t="shared" si="0"/>
        <v>6.7938653597217069E-3</v>
      </c>
      <c r="J4">
        <f t="shared" si="1"/>
        <v>3.77513821496844</v>
      </c>
    </row>
    <row r="5" spans="1:11" x14ac:dyDescent="0.35">
      <c r="A5" s="2">
        <v>38991</v>
      </c>
      <c r="B5">
        <v>16.496259994870421</v>
      </c>
      <c r="C5">
        <v>3.9067394823066648</v>
      </c>
      <c r="D5">
        <v>3.559923522405422</v>
      </c>
      <c r="E5">
        <v>7.043333333333333</v>
      </c>
      <c r="F5">
        <v>0</v>
      </c>
      <c r="H5">
        <v>16.491127052683922</v>
      </c>
      <c r="I5">
        <f t="shared" si="0"/>
        <v>5.1329421864991787E-3</v>
      </c>
      <c r="J5">
        <f t="shared" si="1"/>
        <v>3.1365938510266682</v>
      </c>
    </row>
    <row r="6" spans="1:11" x14ac:dyDescent="0.35">
      <c r="A6" s="2">
        <v>39083</v>
      </c>
      <c r="B6">
        <v>16.503292981604741</v>
      </c>
      <c r="C6">
        <v>4.7536143220917593</v>
      </c>
      <c r="D6">
        <v>3.9053889364743299</v>
      </c>
      <c r="E6">
        <v>7.03</v>
      </c>
      <c r="F6">
        <v>0</v>
      </c>
      <c r="H6">
        <v>16.495280984239326</v>
      </c>
      <c r="I6">
        <f t="shared" si="0"/>
        <v>8.0119973654149135E-3</v>
      </c>
      <c r="J6">
        <f t="shared" si="1"/>
        <v>2.276385677908241</v>
      </c>
    </row>
    <row r="7" spans="1:11" x14ac:dyDescent="0.35">
      <c r="A7" s="2">
        <v>39173</v>
      </c>
      <c r="B7">
        <v>16.51092463850695</v>
      </c>
      <c r="C7">
        <v>2.9995205353107619</v>
      </c>
      <c r="D7">
        <v>3.7303506978518528</v>
      </c>
      <c r="E7">
        <v>7.2066666666666661</v>
      </c>
      <c r="F7">
        <v>0</v>
      </c>
      <c r="H7">
        <v>16.499434915794726</v>
      </c>
      <c r="I7">
        <f t="shared" si="0"/>
        <v>1.1489722712223482E-2</v>
      </c>
      <c r="J7">
        <f t="shared" si="1"/>
        <v>4.2071461313559038</v>
      </c>
    </row>
    <row r="8" spans="1:11" x14ac:dyDescent="0.35">
      <c r="A8" s="2">
        <v>39264</v>
      </c>
      <c r="B8">
        <v>16.517198261236079</v>
      </c>
      <c r="C8">
        <v>3.6608431896063549</v>
      </c>
      <c r="D8">
        <v>3.8301793823288852</v>
      </c>
      <c r="E8">
        <v>7.2633333333333328</v>
      </c>
      <c r="F8">
        <v>0</v>
      </c>
      <c r="H8">
        <v>16.50358884735013</v>
      </c>
      <c r="I8">
        <f t="shared" si="0"/>
        <v>1.3609413885948385E-2</v>
      </c>
      <c r="J8">
        <f t="shared" si="1"/>
        <v>3.6024901437269778</v>
      </c>
    </row>
    <row r="9" spans="1:11" x14ac:dyDescent="0.35">
      <c r="A9" s="2">
        <v>39356</v>
      </c>
      <c r="B9">
        <v>16.521125315780608</v>
      </c>
      <c r="C9">
        <v>4.1560008273135329</v>
      </c>
      <c r="D9">
        <v>3.8924947185806018</v>
      </c>
      <c r="E9">
        <v>7.4333333333333336</v>
      </c>
      <c r="F9">
        <v>0</v>
      </c>
      <c r="H9">
        <v>16.507742778905534</v>
      </c>
      <c r="I9">
        <f t="shared" si="0"/>
        <v>1.338253687507418E-2</v>
      </c>
      <c r="J9">
        <f t="shared" si="1"/>
        <v>3.2773325060198006</v>
      </c>
    </row>
    <row r="10" spans="1:11" x14ac:dyDescent="0.35">
      <c r="A10" s="2">
        <v>39448</v>
      </c>
      <c r="B10">
        <v>16.519310204913531</v>
      </c>
      <c r="C10">
        <v>4.9501587922693657</v>
      </c>
      <c r="D10">
        <v>3.9416308361250039</v>
      </c>
      <c r="E10">
        <v>7.5066666666666668</v>
      </c>
      <c r="F10">
        <v>0</v>
      </c>
      <c r="H10">
        <v>16.511896710460938</v>
      </c>
      <c r="I10">
        <f t="shared" si="0"/>
        <v>7.4134944525923174E-3</v>
      </c>
      <c r="J10">
        <f t="shared" si="1"/>
        <v>2.5565078743973011</v>
      </c>
    </row>
    <row r="11" spans="1:11" x14ac:dyDescent="0.35">
      <c r="A11" s="2">
        <v>39539</v>
      </c>
      <c r="B11">
        <v>16.526648706445709</v>
      </c>
      <c r="C11">
        <v>5.4797323314526034</v>
      </c>
      <c r="D11">
        <v>4.5616837851604641</v>
      </c>
      <c r="E11">
        <v>7.5333333333333341</v>
      </c>
      <c r="F11">
        <v>0</v>
      </c>
      <c r="H11">
        <v>16.516050642016339</v>
      </c>
      <c r="I11">
        <f t="shared" si="0"/>
        <v>1.0598064429370169E-2</v>
      </c>
      <c r="J11">
        <f t="shared" si="1"/>
        <v>2.0536010018807307</v>
      </c>
    </row>
    <row r="12" spans="1:11" x14ac:dyDescent="0.35">
      <c r="A12" s="2">
        <v>39630</v>
      </c>
      <c r="B12">
        <v>16.52995876808696</v>
      </c>
      <c r="C12">
        <v>5.4937591115338247</v>
      </c>
      <c r="D12">
        <v>5.0199127656423306</v>
      </c>
      <c r="E12">
        <v>8.0766666666666662</v>
      </c>
      <c r="F12">
        <v>0</v>
      </c>
      <c r="H12">
        <v>16.520204573571743</v>
      </c>
      <c r="I12">
        <f t="shared" si="0"/>
        <v>9.7541945152173071E-3</v>
      </c>
      <c r="J12">
        <f t="shared" si="1"/>
        <v>2.5829075551328415</v>
      </c>
    </row>
    <row r="13" spans="1:11" x14ac:dyDescent="0.35">
      <c r="A13" s="2">
        <v>39722</v>
      </c>
      <c r="B13">
        <v>16.513496436583189</v>
      </c>
      <c r="C13">
        <v>5.3670875063546184</v>
      </c>
      <c r="D13">
        <v>5.3226844354026026</v>
      </c>
      <c r="E13">
        <v>7.9766666666666666</v>
      </c>
      <c r="F13">
        <v>0</v>
      </c>
      <c r="H13">
        <v>16.524358505127147</v>
      </c>
      <c r="I13">
        <f t="shared" si="0"/>
        <v>-1.0862068543957548E-2</v>
      </c>
      <c r="J13">
        <f t="shared" si="1"/>
        <v>2.6095791603120482</v>
      </c>
    </row>
    <row r="14" spans="1:11" x14ac:dyDescent="0.35">
      <c r="A14" s="2">
        <v>39814</v>
      </c>
      <c r="B14">
        <v>16.461015265640199</v>
      </c>
      <c r="C14">
        <v>5.9984268631781523</v>
      </c>
      <c r="D14">
        <v>5.5847514531297993</v>
      </c>
      <c r="E14">
        <v>7.63</v>
      </c>
      <c r="F14">
        <v>0</v>
      </c>
      <c r="H14">
        <v>16.528512436682551</v>
      </c>
      <c r="I14">
        <f t="shared" si="0"/>
        <v>-6.7497171042351312E-2</v>
      </c>
      <c r="J14">
        <f t="shared" si="1"/>
        <v>1.6315731368218476</v>
      </c>
    </row>
    <row r="15" spans="1:11" x14ac:dyDescent="0.35">
      <c r="A15" s="2">
        <v>39904</v>
      </c>
      <c r="B15">
        <v>16.445916003450868</v>
      </c>
      <c r="C15">
        <v>4.652897192632488</v>
      </c>
      <c r="D15">
        <v>5.3780426684247704</v>
      </c>
      <c r="E15">
        <v>5.6766666666666667</v>
      </c>
      <c r="F15">
        <v>0</v>
      </c>
      <c r="H15">
        <v>16.532666368237951</v>
      </c>
      <c r="I15">
        <f t="shared" si="0"/>
        <v>-8.6750364787082646E-2</v>
      </c>
      <c r="J15">
        <f t="shared" si="1"/>
        <v>1.0237694740341787</v>
      </c>
    </row>
    <row r="16" spans="1:11" x14ac:dyDescent="0.35">
      <c r="A16" s="2">
        <v>39995</v>
      </c>
      <c r="B16">
        <v>16.478483327169052</v>
      </c>
      <c r="C16">
        <v>3.1513199882166938</v>
      </c>
      <c r="D16">
        <v>4.7924328875954876</v>
      </c>
      <c r="E16">
        <v>4.55</v>
      </c>
      <c r="F16">
        <v>0</v>
      </c>
      <c r="H16">
        <v>16.536820299793355</v>
      </c>
      <c r="I16">
        <f t="shared" si="0"/>
        <v>-5.8336972624303485E-2</v>
      </c>
      <c r="J16">
        <f t="shared" si="1"/>
        <v>1.398680011783306</v>
      </c>
    </row>
    <row r="17" spans="1:10" x14ac:dyDescent="0.35">
      <c r="A17" s="2">
        <v>40087</v>
      </c>
      <c r="B17">
        <v>16.49491699544938</v>
      </c>
      <c r="C17">
        <v>3.6043345944380518</v>
      </c>
      <c r="D17">
        <v>4.3517446596163456</v>
      </c>
      <c r="E17">
        <v>4.5633333333333326</v>
      </c>
      <c r="F17">
        <v>0</v>
      </c>
      <c r="H17">
        <v>16.540974231348759</v>
      </c>
      <c r="I17">
        <f t="shared" si="0"/>
        <v>-4.6057235899379378E-2</v>
      </c>
      <c r="J17">
        <f t="shared" si="1"/>
        <v>0.95899873889528076</v>
      </c>
    </row>
    <row r="18" spans="1:10" x14ac:dyDescent="0.35">
      <c r="A18" s="2">
        <v>40179</v>
      </c>
      <c r="B18">
        <v>16.50541402522169</v>
      </c>
      <c r="C18">
        <v>6.1658753221655038</v>
      </c>
      <c r="D18">
        <v>4.3936067743631844</v>
      </c>
      <c r="E18">
        <v>4.5933333333333328</v>
      </c>
      <c r="F18">
        <v>0</v>
      </c>
      <c r="H18">
        <v>16.54512816290416</v>
      </c>
      <c r="I18">
        <f t="shared" si="0"/>
        <v>-3.9714137682469897E-2</v>
      </c>
      <c r="J18">
        <f t="shared" si="1"/>
        <v>-1.572541988832171</v>
      </c>
    </row>
    <row r="19" spans="1:10" x14ac:dyDescent="0.35">
      <c r="A19" s="2">
        <v>40269</v>
      </c>
      <c r="B19">
        <v>16.516236515492409</v>
      </c>
      <c r="C19">
        <v>2.7519030100945141</v>
      </c>
      <c r="D19">
        <v>3.9183582287286911</v>
      </c>
      <c r="E19">
        <v>4.5966666666666667</v>
      </c>
      <c r="F19">
        <v>0</v>
      </c>
      <c r="H19">
        <v>16.549282094459564</v>
      </c>
      <c r="I19">
        <f t="shared" si="0"/>
        <v>-3.3045578967154654E-2</v>
      </c>
      <c r="J19">
        <f t="shared" si="1"/>
        <v>1.8447636565721526</v>
      </c>
    </row>
    <row r="20" spans="1:10" x14ac:dyDescent="0.35">
      <c r="A20" s="2">
        <v>40360</v>
      </c>
      <c r="B20">
        <v>16.52571258223351</v>
      </c>
      <c r="C20">
        <v>2.2903256690671951</v>
      </c>
      <c r="D20">
        <v>3.7031096489413158</v>
      </c>
      <c r="E20">
        <v>4.59</v>
      </c>
      <c r="F20">
        <v>0</v>
      </c>
      <c r="H20">
        <v>16.553436026014968</v>
      </c>
      <c r="I20">
        <f t="shared" si="0"/>
        <v>-2.7723443781457746E-2</v>
      </c>
      <c r="J20">
        <f t="shared" si="1"/>
        <v>2.2996743309328047</v>
      </c>
    </row>
    <row r="21" spans="1:10" x14ac:dyDescent="0.35">
      <c r="A21" s="2">
        <v>40452</v>
      </c>
      <c r="B21">
        <v>16.533371060313989</v>
      </c>
      <c r="C21">
        <v>3.1103019143184918</v>
      </c>
      <c r="D21">
        <v>3.5796014789114259</v>
      </c>
      <c r="E21">
        <v>4.5633333333333326</v>
      </c>
      <c r="F21">
        <v>0</v>
      </c>
      <c r="H21">
        <v>16.557589957570372</v>
      </c>
      <c r="I21">
        <f t="shared" si="0"/>
        <v>-2.4218897256382377E-2</v>
      </c>
      <c r="J21">
        <f t="shared" si="1"/>
        <v>1.4530314190148408</v>
      </c>
    </row>
    <row r="22" spans="1:10" x14ac:dyDescent="0.35">
      <c r="A22" s="2">
        <v>40544</v>
      </c>
      <c r="B22">
        <v>16.541005438653031</v>
      </c>
      <c r="C22">
        <v>4.8789384281731962</v>
      </c>
      <c r="D22">
        <v>3.2578672554133492</v>
      </c>
      <c r="E22">
        <v>4.5199999999999996</v>
      </c>
      <c r="F22">
        <v>0</v>
      </c>
      <c r="H22">
        <v>16.561743889125772</v>
      </c>
      <c r="I22">
        <f t="shared" si="0"/>
        <v>-2.0738450472741476E-2</v>
      </c>
      <c r="J22">
        <f t="shared" si="1"/>
        <v>-0.35893842817319666</v>
      </c>
    </row>
    <row r="23" spans="1:10" x14ac:dyDescent="0.35">
      <c r="A23" s="2">
        <v>40634</v>
      </c>
      <c r="B23">
        <v>16.54626711417399</v>
      </c>
      <c r="C23">
        <v>2.4110291956751069</v>
      </c>
      <c r="D23">
        <v>3.172648801808498</v>
      </c>
      <c r="E23">
        <v>4.4866666666666672</v>
      </c>
      <c r="F23">
        <v>0</v>
      </c>
      <c r="H23">
        <v>16.565897820681176</v>
      </c>
      <c r="I23">
        <f t="shared" si="0"/>
        <v>-1.9630706507186346E-2</v>
      </c>
      <c r="J23">
        <f t="shared" si="1"/>
        <v>2.0756374709915604</v>
      </c>
    </row>
    <row r="24" spans="1:10" x14ac:dyDescent="0.35">
      <c r="A24" s="2">
        <v>40725</v>
      </c>
      <c r="B24">
        <v>16.56554148040345</v>
      </c>
      <c r="C24">
        <v>2.3311584027341898</v>
      </c>
      <c r="D24">
        <v>3.182856985225246</v>
      </c>
      <c r="E24">
        <v>4.4266666666666667</v>
      </c>
      <c r="F24">
        <v>0</v>
      </c>
      <c r="H24">
        <v>16.57005175223658</v>
      </c>
      <c r="I24">
        <f t="shared" si="0"/>
        <v>-4.5102718331300196E-3</v>
      </c>
      <c r="J24">
        <f t="shared" si="1"/>
        <v>2.0955082639324769</v>
      </c>
    </row>
    <row r="25" spans="1:10" x14ac:dyDescent="0.35">
      <c r="A25" s="2">
        <v>40817</v>
      </c>
      <c r="B25">
        <v>16.57203442871236</v>
      </c>
      <c r="C25">
        <v>3.5098124862678941</v>
      </c>
      <c r="D25">
        <v>3.2827346282125971</v>
      </c>
      <c r="E25">
        <v>4.4266666666666667</v>
      </c>
      <c r="F25">
        <v>0</v>
      </c>
      <c r="H25">
        <v>16.574205683791984</v>
      </c>
      <c r="I25">
        <f t="shared" si="0"/>
        <v>-2.1712550796237906E-3</v>
      </c>
      <c r="J25">
        <f t="shared" si="1"/>
        <v>0.91685418039877264</v>
      </c>
    </row>
    <row r="26" spans="1:10" x14ac:dyDescent="0.35">
      <c r="A26" s="2">
        <v>40909</v>
      </c>
      <c r="B26">
        <v>16.578610718344169</v>
      </c>
      <c r="C26">
        <v>5.1707672369560642</v>
      </c>
      <c r="D26">
        <v>3.3556918304083139</v>
      </c>
      <c r="E26">
        <v>4.4933333333333332</v>
      </c>
      <c r="F26">
        <v>0</v>
      </c>
      <c r="H26">
        <v>16.578359615347384</v>
      </c>
      <c r="I26">
        <f t="shared" si="0"/>
        <v>2.5110299678487991E-4</v>
      </c>
      <c r="J26">
        <f t="shared" si="1"/>
        <v>-0.67743390362273104</v>
      </c>
    </row>
    <row r="27" spans="1:10" x14ac:dyDescent="0.35">
      <c r="A27" s="2">
        <v>41000</v>
      </c>
      <c r="B27">
        <v>16.587392286592959</v>
      </c>
      <c r="C27">
        <v>2.8624008384040782</v>
      </c>
      <c r="D27">
        <v>3.468534741090556</v>
      </c>
      <c r="E27">
        <v>4.4933333333333332</v>
      </c>
      <c r="F27">
        <v>0</v>
      </c>
      <c r="H27">
        <v>16.582513546902788</v>
      </c>
      <c r="I27">
        <f t="shared" si="0"/>
        <v>4.8787396901701641E-3</v>
      </c>
      <c r="J27">
        <f t="shared" si="1"/>
        <v>1.630932494929255</v>
      </c>
    </row>
    <row r="28" spans="1:10" x14ac:dyDescent="0.35">
      <c r="A28" s="2">
        <v>41091</v>
      </c>
      <c r="B28">
        <v>16.592737021736241</v>
      </c>
      <c r="C28">
        <v>3.0548913384645271</v>
      </c>
      <c r="D28">
        <v>3.64946797502314</v>
      </c>
      <c r="E28">
        <v>4.49</v>
      </c>
      <c r="F28">
        <v>0</v>
      </c>
      <c r="H28">
        <v>16.586667478458192</v>
      </c>
      <c r="I28">
        <f t="shared" si="0"/>
        <v>6.0695432780484282E-3</v>
      </c>
      <c r="J28">
        <f t="shared" si="1"/>
        <v>1.4351086615354731</v>
      </c>
    </row>
    <row r="29" spans="1:10" x14ac:dyDescent="0.35">
      <c r="A29" s="2">
        <v>41183</v>
      </c>
      <c r="B29">
        <v>16.601319148902299</v>
      </c>
      <c r="C29">
        <v>2.0041130546772261</v>
      </c>
      <c r="D29">
        <v>3.2730431171254741</v>
      </c>
      <c r="E29">
        <v>4.503333333333333</v>
      </c>
      <c r="F29">
        <v>0</v>
      </c>
      <c r="H29">
        <v>16.590821410013596</v>
      </c>
      <c r="I29">
        <f t="shared" si="0"/>
        <v>1.0497738888702202E-2</v>
      </c>
      <c r="J29">
        <f t="shared" si="1"/>
        <v>2.4992202786561069</v>
      </c>
    </row>
    <row r="30" spans="1:10" x14ac:dyDescent="0.35">
      <c r="A30" s="2">
        <v>41275</v>
      </c>
      <c r="B30">
        <v>16.60389349237083</v>
      </c>
      <c r="C30">
        <v>3.8949479744332161</v>
      </c>
      <c r="D30">
        <v>2.9540883014947621</v>
      </c>
      <c r="E30">
        <v>4.3766666666666669</v>
      </c>
      <c r="F30">
        <v>0</v>
      </c>
      <c r="H30">
        <v>16.594975341568997</v>
      </c>
      <c r="I30">
        <f t="shared" si="0"/>
        <v>8.9181508018327804E-3</v>
      </c>
      <c r="J30">
        <f t="shared" si="1"/>
        <v>0.48171869223345087</v>
      </c>
    </row>
    <row r="31" spans="1:10" x14ac:dyDescent="0.35">
      <c r="A31" s="2">
        <v>41365</v>
      </c>
      <c r="B31">
        <v>16.598592390705889</v>
      </c>
      <c r="C31">
        <v>2.5326502966600768</v>
      </c>
      <c r="D31">
        <v>2.8716506660587622</v>
      </c>
      <c r="E31">
        <v>4.0199999999999996</v>
      </c>
      <c r="F31">
        <v>0</v>
      </c>
      <c r="H31">
        <v>16.599129273124401</v>
      </c>
      <c r="I31">
        <f t="shared" si="0"/>
        <v>-5.368824185119081E-4</v>
      </c>
      <c r="J31">
        <f t="shared" si="1"/>
        <v>1.4873497033399228</v>
      </c>
    </row>
    <row r="32" spans="1:10" x14ac:dyDescent="0.35">
      <c r="A32" s="2">
        <v>41456</v>
      </c>
      <c r="B32">
        <v>16.607245000607669</v>
      </c>
      <c r="C32">
        <v>1.408782329191016</v>
      </c>
      <c r="D32">
        <v>2.460123413740384</v>
      </c>
      <c r="E32">
        <v>3.9466666666666672</v>
      </c>
      <c r="F32">
        <v>0</v>
      </c>
      <c r="H32">
        <v>16.603283204679805</v>
      </c>
      <c r="I32">
        <f t="shared" si="0"/>
        <v>3.9617959278643866E-3</v>
      </c>
      <c r="J32">
        <f t="shared" si="1"/>
        <v>2.537884337475651</v>
      </c>
    </row>
    <row r="33" spans="1:10" x14ac:dyDescent="0.35">
      <c r="A33" s="2">
        <v>41548</v>
      </c>
      <c r="B33">
        <v>16.613143855238619</v>
      </c>
      <c r="C33">
        <v>2.576328723736343</v>
      </c>
      <c r="D33">
        <v>2.6031773310051629</v>
      </c>
      <c r="E33">
        <v>3.6366666666666672</v>
      </c>
      <c r="F33">
        <v>0</v>
      </c>
      <c r="H33">
        <v>16.607437136235205</v>
      </c>
      <c r="I33">
        <f t="shared" si="0"/>
        <v>5.7067190034132409E-3</v>
      </c>
      <c r="J33">
        <f t="shared" si="1"/>
        <v>1.0603379429303241</v>
      </c>
    </row>
    <row r="34" spans="1:10" x14ac:dyDescent="0.35">
      <c r="A34" s="2">
        <v>41640</v>
      </c>
      <c r="B34">
        <v>16.62004469823054</v>
      </c>
      <c r="C34">
        <v>5.6287894508272318</v>
      </c>
      <c r="D34">
        <v>3.0366377001036668</v>
      </c>
      <c r="E34">
        <v>3.51</v>
      </c>
      <c r="F34">
        <v>0</v>
      </c>
      <c r="H34">
        <v>16.611591067790609</v>
      </c>
      <c r="I34">
        <f t="shared" si="0"/>
        <v>8.4536304399307483E-3</v>
      </c>
      <c r="J34">
        <f t="shared" si="1"/>
        <v>-2.118789450827232</v>
      </c>
    </row>
    <row r="35" spans="1:10" x14ac:dyDescent="0.35">
      <c r="A35" s="2">
        <v>41730</v>
      </c>
      <c r="B35">
        <v>16.633112553033271</v>
      </c>
      <c r="C35">
        <v>2.6440056847855549</v>
      </c>
      <c r="D35">
        <v>3.0644765471350368</v>
      </c>
      <c r="E35">
        <v>3.4033333333333329</v>
      </c>
      <c r="F35">
        <v>0</v>
      </c>
      <c r="H35">
        <v>16.615744999346013</v>
      </c>
      <c r="I35">
        <f t="shared" si="0"/>
        <v>1.7367553687257953E-2</v>
      </c>
      <c r="J35">
        <f t="shared" si="1"/>
        <v>0.75932764854777801</v>
      </c>
    </row>
    <row r="36" spans="1:10" x14ac:dyDescent="0.35">
      <c r="A36" s="2">
        <v>41821</v>
      </c>
      <c r="B36">
        <v>16.635570944582149</v>
      </c>
      <c r="C36">
        <v>2.413341445658967</v>
      </c>
      <c r="D36">
        <v>3.3156163262520248</v>
      </c>
      <c r="E36">
        <v>3.03</v>
      </c>
      <c r="F36">
        <v>0</v>
      </c>
      <c r="H36">
        <v>16.619898930901417</v>
      </c>
      <c r="I36">
        <f t="shared" si="0"/>
        <v>1.5672013680731567E-2</v>
      </c>
      <c r="J36">
        <f t="shared" si="1"/>
        <v>0.61665855434103278</v>
      </c>
    </row>
    <row r="37" spans="1:10" x14ac:dyDescent="0.35">
      <c r="A37" s="2">
        <v>41913</v>
      </c>
      <c r="B37">
        <v>16.646655529117179</v>
      </c>
      <c r="C37">
        <v>2.4942553251926509</v>
      </c>
      <c r="D37">
        <v>3.295097976616101</v>
      </c>
      <c r="E37">
        <v>3.0566666666666671</v>
      </c>
      <c r="F37">
        <v>0</v>
      </c>
      <c r="H37">
        <v>16.624052862456818</v>
      </c>
      <c r="I37">
        <f t="shared" si="0"/>
        <v>2.2602666660361592E-2</v>
      </c>
      <c r="J37">
        <f t="shared" si="1"/>
        <v>0.56241134147401617</v>
      </c>
    </row>
    <row r="38" spans="1:10" x14ac:dyDescent="0.35">
      <c r="A38" s="2">
        <v>42005</v>
      </c>
      <c r="B38">
        <v>16.65214894163481</v>
      </c>
      <c r="C38">
        <v>1.977102127062347</v>
      </c>
      <c r="D38">
        <v>2.38217614567488</v>
      </c>
      <c r="E38">
        <v>3.0566666666666671</v>
      </c>
      <c r="F38">
        <v>0</v>
      </c>
      <c r="H38">
        <v>16.628206794012222</v>
      </c>
      <c r="I38">
        <f t="shared" si="0"/>
        <v>2.3942147622587839E-2</v>
      </c>
      <c r="J38">
        <f t="shared" si="1"/>
        <v>1.0795645396043201</v>
      </c>
    </row>
    <row r="39" spans="1:10" x14ac:dyDescent="0.35">
      <c r="A39" s="2">
        <v>42095</v>
      </c>
      <c r="B39">
        <v>16.664210365322479</v>
      </c>
      <c r="C39">
        <v>2.4117936189585132</v>
      </c>
      <c r="D39">
        <v>2.3241231292181199</v>
      </c>
      <c r="E39">
        <v>3.0533333333333328</v>
      </c>
      <c r="F39">
        <v>0</v>
      </c>
      <c r="H39">
        <v>16.632360725567626</v>
      </c>
      <c r="I39">
        <f t="shared" si="0"/>
        <v>3.1849639754852888E-2</v>
      </c>
      <c r="J39">
        <f t="shared" si="1"/>
        <v>0.6415397143748196</v>
      </c>
    </row>
    <row r="40" spans="1:10" x14ac:dyDescent="0.35">
      <c r="A40" s="2">
        <v>42186</v>
      </c>
      <c r="B40">
        <v>16.675838589061989</v>
      </c>
      <c r="C40">
        <v>2.454338646773579</v>
      </c>
      <c r="D40">
        <v>2.334372429496772</v>
      </c>
      <c r="E40">
        <v>3.083333333333333</v>
      </c>
      <c r="F40">
        <v>0</v>
      </c>
      <c r="H40">
        <v>16.63651465712303</v>
      </c>
      <c r="I40">
        <f t="shared" si="0"/>
        <v>3.9323931938959333E-2</v>
      </c>
      <c r="J40">
        <f t="shared" si="1"/>
        <v>0.62899468655975399</v>
      </c>
    </row>
    <row r="41" spans="1:10" x14ac:dyDescent="0.35">
      <c r="A41" s="2">
        <v>42278</v>
      </c>
      <c r="B41">
        <v>16.673596125452612</v>
      </c>
      <c r="C41">
        <v>2.8073988714663272</v>
      </c>
      <c r="D41">
        <v>2.4126583160651909</v>
      </c>
      <c r="E41">
        <v>3.1166666666666671</v>
      </c>
      <c r="F41">
        <v>0</v>
      </c>
      <c r="H41">
        <v>16.64066858867843</v>
      </c>
      <c r="I41">
        <f t="shared" si="0"/>
        <v>3.2927536774181476E-2</v>
      </c>
      <c r="J41">
        <f t="shared" si="1"/>
        <v>0.30926779520033998</v>
      </c>
    </row>
    <row r="42" spans="1:10" x14ac:dyDescent="0.35">
      <c r="A42" s="2">
        <v>42370</v>
      </c>
      <c r="B42">
        <v>16.679409436479549</v>
      </c>
      <c r="C42">
        <v>3.124455097783962</v>
      </c>
      <c r="D42">
        <v>2.699496558745595</v>
      </c>
      <c r="E42">
        <v>3.52</v>
      </c>
      <c r="F42">
        <v>0</v>
      </c>
      <c r="H42">
        <v>16.644822520233834</v>
      </c>
      <c r="I42">
        <f t="shared" si="0"/>
        <v>3.458691624571486E-2</v>
      </c>
      <c r="J42">
        <f t="shared" si="1"/>
        <v>0.395544902216038</v>
      </c>
    </row>
    <row r="43" spans="1:10" x14ac:dyDescent="0.35">
      <c r="A43" s="2">
        <v>42461</v>
      </c>
      <c r="B43">
        <v>16.683739683887559</v>
      </c>
      <c r="C43">
        <v>3.2597647506319438</v>
      </c>
      <c r="D43">
        <v>2.911489341663954</v>
      </c>
      <c r="E43">
        <v>3.8</v>
      </c>
      <c r="F43">
        <v>0</v>
      </c>
      <c r="H43">
        <v>16.648976451789238</v>
      </c>
      <c r="I43">
        <f t="shared" si="0"/>
        <v>3.4763232098320884E-2</v>
      </c>
      <c r="J43">
        <f t="shared" si="1"/>
        <v>0.540235249368056</v>
      </c>
    </row>
    <row r="44" spans="1:10" x14ac:dyDescent="0.35">
      <c r="A44" s="2">
        <v>42552</v>
      </c>
      <c r="B44">
        <v>16.692796175714729</v>
      </c>
      <c r="C44">
        <v>2.8092321945916821</v>
      </c>
      <c r="D44">
        <v>3.0002127286184792</v>
      </c>
      <c r="E44">
        <v>4.293333333333333</v>
      </c>
      <c r="F44">
        <v>0</v>
      </c>
      <c r="H44">
        <v>16.653130383344642</v>
      </c>
      <c r="I44">
        <f t="shared" si="0"/>
        <v>3.9665792370087161E-2</v>
      </c>
      <c r="J44">
        <f t="shared" si="1"/>
        <v>1.4841011387416509</v>
      </c>
    </row>
    <row r="45" spans="1:10" x14ac:dyDescent="0.35">
      <c r="A45" s="2">
        <v>42644</v>
      </c>
      <c r="B45">
        <v>16.704530708406029</v>
      </c>
      <c r="C45">
        <v>3.9075190567076978</v>
      </c>
      <c r="D45">
        <v>3.275242774928822</v>
      </c>
      <c r="E45">
        <v>5.1133333333333333</v>
      </c>
      <c r="F45">
        <v>0</v>
      </c>
      <c r="H45">
        <v>16.657284314900043</v>
      </c>
      <c r="I45">
        <f t="shared" si="0"/>
        <v>4.7246393505986362E-2</v>
      </c>
      <c r="J45">
        <f t="shared" si="1"/>
        <v>1.2058142766256355</v>
      </c>
    </row>
    <row r="46" spans="1:10" x14ac:dyDescent="0.35">
      <c r="A46" s="2">
        <v>42736</v>
      </c>
      <c r="B46">
        <v>16.709279627345971</v>
      </c>
      <c r="C46">
        <v>6.8064444936063229</v>
      </c>
      <c r="D46">
        <v>4.1957401238844119</v>
      </c>
      <c r="E46">
        <v>6.07</v>
      </c>
      <c r="F46">
        <v>0</v>
      </c>
      <c r="H46">
        <v>16.661438246455447</v>
      </c>
      <c r="I46">
        <f t="shared" si="0"/>
        <v>4.7841380890524476E-2</v>
      </c>
      <c r="J46">
        <f t="shared" si="1"/>
        <v>-0.73644449360632258</v>
      </c>
    </row>
    <row r="47" spans="1:10" x14ac:dyDescent="0.35">
      <c r="A47" s="2">
        <v>42826</v>
      </c>
      <c r="B47">
        <v>16.712482050731989</v>
      </c>
      <c r="C47">
        <v>5.6132840318900312</v>
      </c>
      <c r="D47">
        <v>4.7841199441989328</v>
      </c>
      <c r="E47">
        <v>6.6866666666666674</v>
      </c>
      <c r="F47">
        <v>0</v>
      </c>
      <c r="H47">
        <v>16.665592178010851</v>
      </c>
      <c r="I47">
        <f t="shared" si="0"/>
        <v>4.6889872721138204E-2</v>
      </c>
      <c r="J47">
        <f t="shared" si="1"/>
        <v>1.0733826347766362</v>
      </c>
    </row>
    <row r="48" spans="1:10" x14ac:dyDescent="0.35">
      <c r="A48" s="2">
        <v>42917</v>
      </c>
      <c r="B48">
        <v>16.708360498184032</v>
      </c>
      <c r="C48">
        <v>3.3432941732813188</v>
      </c>
      <c r="D48">
        <v>4.9176354388713426</v>
      </c>
      <c r="E48">
        <v>7.05</v>
      </c>
      <c r="F48">
        <v>0</v>
      </c>
      <c r="H48">
        <v>16.669746109566255</v>
      </c>
      <c r="I48">
        <f t="shared" si="0"/>
        <v>3.8614388617776996E-2</v>
      </c>
      <c r="J48">
        <f t="shared" si="1"/>
        <v>3.706705826718681</v>
      </c>
    </row>
    <row r="49" spans="1:10" x14ac:dyDescent="0.35">
      <c r="A49" s="2">
        <v>43009</v>
      </c>
      <c r="B49">
        <v>16.722803480913981</v>
      </c>
      <c r="C49">
        <v>3.6057238689686022</v>
      </c>
      <c r="D49">
        <v>4.8421866419365696</v>
      </c>
      <c r="E49">
        <v>7.0966666666666667</v>
      </c>
      <c r="F49">
        <v>0</v>
      </c>
      <c r="H49">
        <v>16.673900041121655</v>
      </c>
      <c r="I49">
        <f t="shared" si="0"/>
        <v>4.8903439792326253E-2</v>
      </c>
      <c r="J49">
        <f t="shared" si="1"/>
        <v>3.4909427976980645</v>
      </c>
    </row>
    <row r="50" spans="1:10" x14ac:dyDescent="0.35">
      <c r="A50" s="2">
        <v>43101</v>
      </c>
      <c r="B50">
        <v>16.734113970301131</v>
      </c>
      <c r="C50">
        <v>4.5314078871264929</v>
      </c>
      <c r="D50">
        <v>4.2734274903166112</v>
      </c>
      <c r="E50">
        <v>7.45</v>
      </c>
      <c r="F50">
        <v>0</v>
      </c>
      <c r="H50">
        <v>16.678053972677059</v>
      </c>
      <c r="I50">
        <f t="shared" si="0"/>
        <v>5.6059997624071656E-2</v>
      </c>
      <c r="J50">
        <f t="shared" si="1"/>
        <v>2.9185921128735073</v>
      </c>
    </row>
    <row r="51" spans="1:10" x14ac:dyDescent="0.35">
      <c r="A51" s="2">
        <v>43191</v>
      </c>
      <c r="B51">
        <v>16.733409514259911</v>
      </c>
      <c r="C51">
        <v>3.1765357916665682</v>
      </c>
      <c r="D51">
        <v>3.6642404302607461</v>
      </c>
      <c r="E51">
        <v>7.586666666666666</v>
      </c>
      <c r="F51">
        <v>0</v>
      </c>
      <c r="H51">
        <v>16.682207904232463</v>
      </c>
      <c r="I51">
        <f t="shared" si="0"/>
        <v>5.1201610027447941E-2</v>
      </c>
      <c r="J51">
        <f t="shared" si="1"/>
        <v>4.4101308750000978</v>
      </c>
    </row>
    <row r="52" spans="1:10" x14ac:dyDescent="0.35">
      <c r="A52" s="2">
        <v>43282</v>
      </c>
      <c r="B52">
        <v>16.736160320039929</v>
      </c>
      <c r="C52">
        <v>3.261325886763311</v>
      </c>
      <c r="D52">
        <v>3.6437483586312438</v>
      </c>
      <c r="E52">
        <v>7.8066666666666658</v>
      </c>
      <c r="F52">
        <v>0</v>
      </c>
      <c r="H52">
        <v>16.686361835787864</v>
      </c>
      <c r="I52">
        <f t="shared" si="0"/>
        <v>4.9798484252065123E-2</v>
      </c>
      <c r="J52">
        <f t="shared" si="1"/>
        <v>4.5453407799033547</v>
      </c>
    </row>
    <row r="53" spans="1:10" x14ac:dyDescent="0.35">
      <c r="A53" s="2">
        <v>43374</v>
      </c>
      <c r="B53">
        <v>16.73568077115204</v>
      </c>
      <c r="C53">
        <v>3.7845504114656809</v>
      </c>
      <c r="D53">
        <v>3.688454994255514</v>
      </c>
      <c r="E53">
        <v>7.9766666666666666</v>
      </c>
      <c r="F53">
        <v>0</v>
      </c>
      <c r="H53">
        <v>16.690515767343268</v>
      </c>
      <c r="I53">
        <f t="shared" si="0"/>
        <v>4.5165003808772752E-2</v>
      </c>
      <c r="J53">
        <f t="shared" si="1"/>
        <v>4.1921162552009861</v>
      </c>
    </row>
    <row r="54" spans="1:10" x14ac:dyDescent="0.35">
      <c r="A54" s="2">
        <v>43466</v>
      </c>
      <c r="B54">
        <v>16.73615411089564</v>
      </c>
      <c r="C54">
        <v>4.0597330518520316</v>
      </c>
      <c r="D54">
        <v>3.5705362854368978</v>
      </c>
      <c r="E54">
        <v>8.26</v>
      </c>
      <c r="F54">
        <v>0</v>
      </c>
      <c r="H54">
        <v>16.694669698898672</v>
      </c>
      <c r="I54">
        <f t="shared" si="0"/>
        <v>4.1484411996968618E-2</v>
      </c>
      <c r="J54">
        <f t="shared" si="1"/>
        <v>4.2002669481479682</v>
      </c>
    </row>
    <row r="55" spans="1:10" x14ac:dyDescent="0.35">
      <c r="A55" s="2">
        <v>43556</v>
      </c>
      <c r="B55">
        <v>16.731897792917049</v>
      </c>
      <c r="C55">
        <v>4.2242758249635406</v>
      </c>
      <c r="D55">
        <v>3.832471293761142</v>
      </c>
      <c r="E55">
        <v>8.2766666666666655</v>
      </c>
      <c r="F55">
        <v>0</v>
      </c>
      <c r="H55">
        <v>16.698823630454076</v>
      </c>
      <c r="I55">
        <f t="shared" si="0"/>
        <v>3.3074162462973788E-2</v>
      </c>
      <c r="J55">
        <f t="shared" si="1"/>
        <v>4.0523908417031249</v>
      </c>
    </row>
    <row r="56" spans="1:10" x14ac:dyDescent="0.35">
      <c r="A56" s="2">
        <v>43647</v>
      </c>
      <c r="B56">
        <v>16.734221896188519</v>
      </c>
      <c r="C56">
        <v>3.027869621785007</v>
      </c>
      <c r="D56">
        <v>3.774107227516565</v>
      </c>
      <c r="E56">
        <v>8.17</v>
      </c>
      <c r="F56">
        <v>0</v>
      </c>
      <c r="H56">
        <v>16.702977562009476</v>
      </c>
      <c r="I56">
        <f t="shared" si="0"/>
        <v>3.124433417904271E-2</v>
      </c>
      <c r="J56">
        <f t="shared" si="1"/>
        <v>5.1421303782149934</v>
      </c>
    </row>
    <row r="57" spans="1:10" x14ac:dyDescent="0.35">
      <c r="A57" s="2">
        <v>43739</v>
      </c>
      <c r="B57">
        <v>16.729622247151781</v>
      </c>
      <c r="C57">
        <v>3.2476644597159381</v>
      </c>
      <c r="D57">
        <v>3.63988573957913</v>
      </c>
      <c r="E57">
        <v>7.666666666666667</v>
      </c>
      <c r="F57">
        <v>0</v>
      </c>
      <c r="H57">
        <v>16.70713149356488</v>
      </c>
      <c r="I57">
        <f t="shared" si="0"/>
        <v>2.249075358690078E-2</v>
      </c>
      <c r="J57">
        <f t="shared" si="1"/>
        <v>4.4190022069507293</v>
      </c>
    </row>
    <row r="58" spans="1:10" x14ac:dyDescent="0.35">
      <c r="A58" s="2">
        <v>43831</v>
      </c>
      <c r="B58">
        <v>16.719693944674521</v>
      </c>
      <c r="C58">
        <v>4.1293504514592794</v>
      </c>
      <c r="D58">
        <v>3.657290089480941</v>
      </c>
      <c r="E58">
        <v>7.09</v>
      </c>
      <c r="F58">
        <v>6.8483516483516489</v>
      </c>
      <c r="H58">
        <v>16.711285425120284</v>
      </c>
      <c r="I58">
        <f t="shared" si="0"/>
        <v>8.4085195542371594E-3</v>
      </c>
      <c r="J58">
        <f t="shared" si="1"/>
        <v>2.9606495485407205</v>
      </c>
    </row>
    <row r="59" spans="1:10" x14ac:dyDescent="0.35">
      <c r="A59" s="2">
        <v>43922</v>
      </c>
      <c r="B59">
        <v>16.52361695082103</v>
      </c>
      <c r="C59">
        <v>4.0603461599709068</v>
      </c>
      <c r="D59">
        <v>3.6163076732327819</v>
      </c>
      <c r="E59">
        <v>5.88</v>
      </c>
      <c r="F59">
        <v>78.817252747252752</v>
      </c>
      <c r="H59">
        <v>16.715439356675688</v>
      </c>
      <c r="I59">
        <f t="shared" si="0"/>
        <v>-0.19182240585465848</v>
      </c>
      <c r="J59">
        <f t="shared" si="1"/>
        <v>1.8196538400290931</v>
      </c>
    </row>
    <row r="60" spans="1:10" x14ac:dyDescent="0.35">
      <c r="A60" s="2">
        <v>44013</v>
      </c>
      <c r="B60">
        <v>16.64729605960909</v>
      </c>
      <c r="C60">
        <v>4.3508674107114453</v>
      </c>
      <c r="D60">
        <v>3.9470571204643918</v>
      </c>
      <c r="E60">
        <v>4.7366666666666672</v>
      </c>
      <c r="F60">
        <v>71.667608695652177</v>
      </c>
      <c r="H60">
        <v>16.719593288231088</v>
      </c>
      <c r="I60">
        <f t="shared" si="0"/>
        <v>-7.2297228621998499E-2</v>
      </c>
      <c r="J60">
        <f t="shared" si="1"/>
        <v>0.38579925595522191</v>
      </c>
    </row>
    <row r="61" spans="1:10" x14ac:dyDescent="0.35">
      <c r="A61" s="2">
        <v>44105</v>
      </c>
      <c r="B61">
        <v>16.68970402239114</v>
      </c>
      <c r="C61">
        <v>2.792809295424115</v>
      </c>
      <c r="D61">
        <v>3.8333433293914361</v>
      </c>
      <c r="E61">
        <v>4.2699999999999996</v>
      </c>
      <c r="F61">
        <v>71.920869565217387</v>
      </c>
      <c r="H61">
        <v>16.723747219786492</v>
      </c>
      <c r="I61">
        <f t="shared" si="0"/>
        <v>-3.4043197395352109E-2</v>
      </c>
      <c r="J61">
        <f t="shared" si="1"/>
        <v>1.4771907045758845</v>
      </c>
    </row>
    <row r="62" spans="1:10" x14ac:dyDescent="0.35">
      <c r="A62" s="2">
        <v>44197</v>
      </c>
      <c r="B62">
        <v>16.693007816234481</v>
      </c>
      <c r="C62">
        <v>4.6562693088463947</v>
      </c>
      <c r="D62">
        <v>3.965073043738216</v>
      </c>
      <c r="E62">
        <v>4.1433333333333344</v>
      </c>
      <c r="F62">
        <v>61.87188888888889</v>
      </c>
      <c r="H62">
        <v>16.727901151341896</v>
      </c>
      <c r="I62">
        <f t="shared" si="0"/>
        <v>-3.4893335107415879E-2</v>
      </c>
      <c r="J62">
        <f t="shared" si="1"/>
        <v>-0.51293597551306025</v>
      </c>
    </row>
    <row r="63" spans="1:10" x14ac:dyDescent="0.35">
      <c r="A63" s="2">
        <v>44287</v>
      </c>
      <c r="B63">
        <v>16.70052414759245</v>
      </c>
      <c r="C63">
        <v>5.7607679621090924</v>
      </c>
      <c r="D63">
        <v>4.390178494272762</v>
      </c>
      <c r="E63">
        <v>4.03</v>
      </c>
      <c r="F63">
        <v>44.776043956043956</v>
      </c>
      <c r="H63">
        <v>16.7320550828973</v>
      </c>
      <c r="I63">
        <f t="shared" si="0"/>
        <v>-3.1530935304850516E-2</v>
      </c>
      <c r="J63">
        <f t="shared" si="1"/>
        <v>-1.7307679621090921</v>
      </c>
    </row>
    <row r="64" spans="1:10" x14ac:dyDescent="0.35">
      <c r="A64" s="2">
        <v>44378</v>
      </c>
      <c r="B64">
        <v>16.689447427692851</v>
      </c>
      <c r="C64">
        <v>6.067599416051328</v>
      </c>
      <c r="D64">
        <v>4.8193614956077324</v>
      </c>
      <c r="E64">
        <v>4.4233333333333329</v>
      </c>
      <c r="F64">
        <v>52.867282608695653</v>
      </c>
      <c r="H64">
        <v>16.736209014452701</v>
      </c>
      <c r="I64">
        <f t="shared" si="0"/>
        <v>-4.6761586759849649E-2</v>
      </c>
      <c r="J64">
        <f t="shared" si="1"/>
        <v>-1.6442660827179951</v>
      </c>
    </row>
    <row r="65" spans="1:10" x14ac:dyDescent="0.35">
      <c r="A65" s="2">
        <v>44470</v>
      </c>
      <c r="B65">
        <v>16.701194975201279</v>
      </c>
      <c r="C65">
        <v>5.9720819992299168</v>
      </c>
      <c r="D65">
        <v>5.6141796715591834</v>
      </c>
      <c r="E65">
        <v>4.9666666666666668</v>
      </c>
      <c r="F65">
        <v>37.200217391304349</v>
      </c>
      <c r="H65">
        <v>16.740362946008105</v>
      </c>
      <c r="I65">
        <f t="shared" si="0"/>
        <v>-3.9167970806825991E-2</v>
      </c>
      <c r="J65">
        <f t="shared" si="1"/>
        <v>-1.00541533256325</v>
      </c>
    </row>
    <row r="66" spans="1:10" x14ac:dyDescent="0.35">
      <c r="A66" s="2">
        <v>44562</v>
      </c>
      <c r="B66">
        <v>16.711318424522439</v>
      </c>
      <c r="C66">
        <v>8.4020551252795617</v>
      </c>
      <c r="D66">
        <v>6.550626125667474</v>
      </c>
      <c r="E66">
        <v>5.8</v>
      </c>
      <c r="F66">
        <v>37.88977777777778</v>
      </c>
      <c r="H66">
        <v>16.744516877563509</v>
      </c>
      <c r="I66">
        <f t="shared" si="0"/>
        <v>-3.3198453041070053E-2</v>
      </c>
      <c r="J66">
        <f t="shared" si="1"/>
        <v>-2.6020551252795618</v>
      </c>
    </row>
    <row r="67" spans="1:10" x14ac:dyDescent="0.35">
      <c r="A67" s="2">
        <v>44652</v>
      </c>
      <c r="B67">
        <v>16.722300207234142</v>
      </c>
      <c r="C67">
        <v>9.0033835083508595</v>
      </c>
      <c r="D67">
        <v>7.3612800122279154</v>
      </c>
      <c r="E67">
        <v>6.8133333333333326</v>
      </c>
      <c r="F67">
        <v>24.86648351648352</v>
      </c>
      <c r="H67">
        <v>16.748670809118909</v>
      </c>
      <c r="I67">
        <f t="shared" ref="I67:I70" si="2">B67-H67</f>
        <v>-2.6370601884767808E-2</v>
      </c>
      <c r="J67">
        <f t="shared" ref="J67:J70" si="3">E67-C67</f>
        <v>-2.190050175017527</v>
      </c>
    </row>
    <row r="68" spans="1:10" x14ac:dyDescent="0.35">
      <c r="A68" s="2">
        <v>44743</v>
      </c>
      <c r="B68">
        <v>16.73140836424453</v>
      </c>
      <c r="C68">
        <v>8.6741456725758503</v>
      </c>
      <c r="D68">
        <v>8.0129165763590464</v>
      </c>
      <c r="E68">
        <v>8.1666666666666661</v>
      </c>
      <c r="F68">
        <v>25.310217391304349</v>
      </c>
      <c r="H68">
        <v>16.752824740674313</v>
      </c>
      <c r="I68">
        <f t="shared" si="2"/>
        <v>-2.1416376429783668E-2</v>
      </c>
      <c r="J68">
        <f t="shared" si="3"/>
        <v>-0.50747900590918427</v>
      </c>
    </row>
    <row r="69" spans="1:10" x14ac:dyDescent="0.35">
      <c r="A69" s="2">
        <v>44835</v>
      </c>
      <c r="B69">
        <v>16.737177328462721</v>
      </c>
      <c r="C69">
        <v>7.6949866910769549</v>
      </c>
      <c r="D69">
        <v>8.4436427493208068</v>
      </c>
      <c r="E69">
        <v>9.76</v>
      </c>
      <c r="F69">
        <v>13.89</v>
      </c>
      <c r="H69">
        <v>16.756978672229717</v>
      </c>
      <c r="I69">
        <f t="shared" si="2"/>
        <v>-1.9801343766996382E-2</v>
      </c>
      <c r="J69">
        <f t="shared" si="3"/>
        <v>2.0650133089230449</v>
      </c>
    </row>
    <row r="70" spans="1:10" x14ac:dyDescent="0.35">
      <c r="A70" s="2">
        <v>44927</v>
      </c>
      <c r="B70">
        <v>16.747331708192188</v>
      </c>
      <c r="C70">
        <v>7.7558580000545394</v>
      </c>
      <c r="D70">
        <v>8.2820934680145513</v>
      </c>
      <c r="E70">
        <v>10.793333333333329</v>
      </c>
      <c r="F70">
        <v>11.112</v>
      </c>
      <c r="H70">
        <v>16.761132603785121</v>
      </c>
      <c r="I70">
        <f t="shared" si="2"/>
        <v>-1.380089559293296E-2</v>
      </c>
      <c r="J70">
        <f t="shared" si="3"/>
        <v>3.03747533327879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5B98-9640-4967-A472-43EB94439E5F}">
  <dimension ref="A1:K57"/>
  <sheetViews>
    <sheetView workbookViewId="0">
      <selection activeCell="C8" sqref="C8"/>
    </sheetView>
  </sheetViews>
  <sheetFormatPr defaultRowHeight="14.5" x14ac:dyDescent="0.35"/>
  <cols>
    <col min="1" max="1" width="17.81640625" bestFit="1" customWidth="1"/>
    <col min="4" max="4" width="19.90625" bestFit="1" customWidth="1"/>
  </cols>
  <sheetData>
    <row r="1" spans="1:11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3" t="s">
        <v>6</v>
      </c>
      <c r="I1" s="3" t="s">
        <v>7</v>
      </c>
      <c r="J1" s="3" t="s">
        <v>8</v>
      </c>
      <c r="K1">
        <f>CORREL(I2:I57, J2:J57)</f>
        <v>0.30940672027160077</v>
      </c>
    </row>
    <row r="2" spans="1:11" ht="13.5" customHeight="1" x14ac:dyDescent="0.35">
      <c r="A2" s="2">
        <v>38718</v>
      </c>
      <c r="B2">
        <v>16.481314125229371</v>
      </c>
      <c r="C2">
        <v>3.3717526658161301</v>
      </c>
      <c r="D2">
        <v>3.120358308939347</v>
      </c>
      <c r="E2">
        <v>7.8033333333333337</v>
      </c>
      <c r="F2">
        <v>0</v>
      </c>
      <c r="H2" cm="1">
        <f t="array" ref="H2:H57">TREND(B2:B57)</f>
        <v>16.454288843484218</v>
      </c>
      <c r="I2">
        <f>B2-H2</f>
        <v>2.7025281745153507E-2</v>
      </c>
      <c r="J2">
        <f>E2-C2</f>
        <v>4.4315806675172036</v>
      </c>
    </row>
    <row r="3" spans="1:11" ht="13.5" customHeight="1" x14ac:dyDescent="0.35">
      <c r="A3" s="2">
        <v>38808</v>
      </c>
      <c r="B3">
        <v>16.491020253161452</v>
      </c>
      <c r="C3">
        <v>3.69967348980067</v>
      </c>
      <c r="D3">
        <v>3.3160035047399901</v>
      </c>
      <c r="E3">
        <v>7.0766666666666671</v>
      </c>
      <c r="F3">
        <v>0</v>
      </c>
      <c r="H3">
        <v>16.459690680899936</v>
      </c>
      <c r="I3">
        <f t="shared" ref="I3:I57" si="0">B3-H3</f>
        <v>3.1329572261515892E-2</v>
      </c>
      <c r="J3">
        <f t="shared" ref="J3:J57" si="1">E3-C3</f>
        <v>3.3769931768659971</v>
      </c>
    </row>
    <row r="4" spans="1:11" ht="13.5" customHeight="1" x14ac:dyDescent="0.35">
      <c r="A4" s="2">
        <v>38899</v>
      </c>
      <c r="B4">
        <v>16.493766986488239</v>
      </c>
      <c r="C4">
        <v>3.2615284516982261</v>
      </c>
      <c r="D4">
        <v>3.435945268513696</v>
      </c>
      <c r="E4">
        <v>7.0366666666666662</v>
      </c>
      <c r="F4">
        <v>0</v>
      </c>
      <c r="H4">
        <v>16.465092518315657</v>
      </c>
      <c r="I4">
        <f t="shared" si="0"/>
        <v>2.8674468172582124E-2</v>
      </c>
      <c r="J4">
        <f t="shared" si="1"/>
        <v>3.77513821496844</v>
      </c>
    </row>
    <row r="5" spans="1:11" ht="13.5" customHeight="1" x14ac:dyDescent="0.35">
      <c r="A5" s="2">
        <v>38991</v>
      </c>
      <c r="B5">
        <v>16.496259994870421</v>
      </c>
      <c r="C5">
        <v>3.9067394823066648</v>
      </c>
      <c r="D5">
        <v>3.559923522405422</v>
      </c>
      <c r="E5">
        <v>7.043333333333333</v>
      </c>
      <c r="F5">
        <v>0</v>
      </c>
      <c r="H5">
        <v>16.470494355731375</v>
      </c>
      <c r="I5">
        <f t="shared" si="0"/>
        <v>2.5765639139045504E-2</v>
      </c>
      <c r="J5">
        <f t="shared" si="1"/>
        <v>3.1365938510266682</v>
      </c>
    </row>
    <row r="6" spans="1:11" ht="13.5" customHeight="1" x14ac:dyDescent="0.35">
      <c r="A6" s="2">
        <v>39083</v>
      </c>
      <c r="B6">
        <v>16.503292981604741</v>
      </c>
      <c r="C6">
        <v>4.7536143220917593</v>
      </c>
      <c r="D6">
        <v>3.9053889364743299</v>
      </c>
      <c r="E6">
        <v>7.03</v>
      </c>
      <c r="F6">
        <v>0</v>
      </c>
      <c r="H6">
        <v>16.475896193147097</v>
      </c>
      <c r="I6">
        <f t="shared" si="0"/>
        <v>2.7396788457643595E-2</v>
      </c>
      <c r="J6">
        <f t="shared" si="1"/>
        <v>2.276385677908241</v>
      </c>
    </row>
    <row r="7" spans="1:11" ht="13.5" customHeight="1" x14ac:dyDescent="0.35">
      <c r="A7" s="2">
        <v>39173</v>
      </c>
      <c r="B7">
        <v>16.51092463850695</v>
      </c>
      <c r="C7">
        <v>2.9995205353107619</v>
      </c>
      <c r="D7">
        <v>3.7303506978518528</v>
      </c>
      <c r="E7">
        <v>7.2066666666666661</v>
      </c>
      <c r="F7">
        <v>0</v>
      </c>
      <c r="H7">
        <v>16.481298030562815</v>
      </c>
      <c r="I7">
        <f t="shared" si="0"/>
        <v>2.962660794413452E-2</v>
      </c>
      <c r="J7">
        <f t="shared" si="1"/>
        <v>4.2071461313559038</v>
      </c>
    </row>
    <row r="8" spans="1:11" ht="13.5" customHeight="1" x14ac:dyDescent="0.35">
      <c r="A8" s="2">
        <v>39264</v>
      </c>
      <c r="B8">
        <v>16.517198261236079</v>
      </c>
      <c r="C8">
        <v>3.6608431896063549</v>
      </c>
      <c r="D8">
        <v>3.8301793823288852</v>
      </c>
      <c r="E8">
        <v>7.2633333333333328</v>
      </c>
      <c r="F8">
        <v>0</v>
      </c>
      <c r="H8">
        <v>16.486699867978537</v>
      </c>
      <c r="I8">
        <f t="shared" si="0"/>
        <v>3.0498393257541778E-2</v>
      </c>
      <c r="J8">
        <f t="shared" si="1"/>
        <v>3.6024901437269778</v>
      </c>
    </row>
    <row r="9" spans="1:11" ht="13.5" customHeight="1" x14ac:dyDescent="0.35">
      <c r="A9" s="2">
        <v>39356</v>
      </c>
      <c r="B9">
        <v>16.521125315780608</v>
      </c>
      <c r="C9">
        <v>4.1560008273135329</v>
      </c>
      <c r="D9">
        <v>3.8924947185806018</v>
      </c>
      <c r="E9">
        <v>7.4333333333333336</v>
      </c>
      <c r="F9">
        <v>0</v>
      </c>
      <c r="H9">
        <v>16.492101705394255</v>
      </c>
      <c r="I9">
        <f t="shared" si="0"/>
        <v>2.9023610386353482E-2</v>
      </c>
      <c r="J9">
        <f t="shared" si="1"/>
        <v>3.2773325060198006</v>
      </c>
    </row>
    <row r="10" spans="1:11" ht="13.5" customHeight="1" x14ac:dyDescent="0.35">
      <c r="A10" s="2">
        <v>39448</v>
      </c>
      <c r="B10">
        <v>16.519310204913531</v>
      </c>
      <c r="C10">
        <v>4.9501587922693657</v>
      </c>
      <c r="D10">
        <v>3.9416308361250039</v>
      </c>
      <c r="E10">
        <v>7.5066666666666668</v>
      </c>
      <c r="F10">
        <v>0</v>
      </c>
      <c r="H10">
        <v>16.497503542809977</v>
      </c>
      <c r="I10">
        <f t="shared" si="0"/>
        <v>2.1806662103553975E-2</v>
      </c>
      <c r="J10">
        <f t="shared" si="1"/>
        <v>2.5565078743973011</v>
      </c>
    </row>
    <row r="11" spans="1:11" ht="13.5" customHeight="1" x14ac:dyDescent="0.35">
      <c r="A11" s="2">
        <v>39539</v>
      </c>
      <c r="B11">
        <v>16.526648706445709</v>
      </c>
      <c r="C11">
        <v>5.4797323314526034</v>
      </c>
      <c r="D11">
        <v>4.5616837851604641</v>
      </c>
      <c r="E11">
        <v>7.5333333333333341</v>
      </c>
      <c r="F11">
        <v>0</v>
      </c>
      <c r="H11">
        <v>16.502905380225695</v>
      </c>
      <c r="I11">
        <f t="shared" si="0"/>
        <v>2.3743326220014183E-2</v>
      </c>
      <c r="J11">
        <f t="shared" si="1"/>
        <v>2.0536010018807307</v>
      </c>
    </row>
    <row r="12" spans="1:11" ht="13.5" customHeight="1" x14ac:dyDescent="0.35">
      <c r="A12" s="2">
        <v>39630</v>
      </c>
      <c r="B12">
        <v>16.52995876808696</v>
      </c>
      <c r="C12">
        <v>5.4937591115338247</v>
      </c>
      <c r="D12">
        <v>5.0199127656423306</v>
      </c>
      <c r="E12">
        <v>8.0766666666666662</v>
      </c>
      <c r="F12">
        <v>0</v>
      </c>
      <c r="H12">
        <v>16.508307217641416</v>
      </c>
      <c r="I12">
        <f t="shared" si="0"/>
        <v>2.1651550445543677E-2</v>
      </c>
      <c r="J12">
        <f t="shared" si="1"/>
        <v>2.5829075551328415</v>
      </c>
    </row>
    <row r="13" spans="1:11" ht="13.5" customHeight="1" x14ac:dyDescent="0.35">
      <c r="A13" s="2">
        <v>39722</v>
      </c>
      <c r="B13">
        <v>16.513496436583189</v>
      </c>
      <c r="C13">
        <v>5.3670875063546184</v>
      </c>
      <c r="D13">
        <v>5.3226844354026026</v>
      </c>
      <c r="E13">
        <v>7.9766666666666666</v>
      </c>
      <c r="F13">
        <v>0</v>
      </c>
      <c r="H13">
        <v>16.513709055057134</v>
      </c>
      <c r="I13">
        <f t="shared" si="0"/>
        <v>-2.1261847394526967E-4</v>
      </c>
      <c r="J13">
        <f t="shared" si="1"/>
        <v>2.6095791603120482</v>
      </c>
    </row>
    <row r="14" spans="1:11" ht="13.5" customHeight="1" x14ac:dyDescent="0.35">
      <c r="A14" s="2">
        <v>39814</v>
      </c>
      <c r="B14">
        <v>16.461015265640199</v>
      </c>
      <c r="C14">
        <v>5.9984268631781523</v>
      </c>
      <c r="D14">
        <v>5.5847514531297993</v>
      </c>
      <c r="E14">
        <v>7.63</v>
      </c>
      <c r="F14">
        <v>0</v>
      </c>
      <c r="H14">
        <v>16.519110892472856</v>
      </c>
      <c r="I14">
        <f t="shared" si="0"/>
        <v>-5.8095626832656677E-2</v>
      </c>
      <c r="J14">
        <f t="shared" si="1"/>
        <v>1.6315731368218476</v>
      </c>
    </row>
    <row r="15" spans="1:11" ht="13.5" customHeight="1" x14ac:dyDescent="0.35">
      <c r="A15" s="2">
        <v>39904</v>
      </c>
      <c r="B15">
        <v>16.445916003450868</v>
      </c>
      <c r="C15">
        <v>4.652897192632488</v>
      </c>
      <c r="D15">
        <v>5.3780426684247704</v>
      </c>
      <c r="E15">
        <v>5.6766666666666667</v>
      </c>
      <c r="F15">
        <v>0</v>
      </c>
      <c r="H15">
        <v>16.524512729888574</v>
      </c>
      <c r="I15">
        <f t="shared" si="0"/>
        <v>-7.8596726437705655E-2</v>
      </c>
      <c r="J15">
        <f t="shared" si="1"/>
        <v>1.0237694740341787</v>
      </c>
    </row>
    <row r="16" spans="1:11" ht="13.5" customHeight="1" x14ac:dyDescent="0.35">
      <c r="A16" s="2">
        <v>39995</v>
      </c>
      <c r="B16">
        <v>16.478483327169052</v>
      </c>
      <c r="C16">
        <v>3.1513199882166938</v>
      </c>
      <c r="D16">
        <v>4.7924328875954876</v>
      </c>
      <c r="E16">
        <v>4.55</v>
      </c>
      <c r="F16">
        <v>0</v>
      </c>
      <c r="H16">
        <v>16.529914567304296</v>
      </c>
      <c r="I16">
        <f t="shared" si="0"/>
        <v>-5.1431240135244138E-2</v>
      </c>
      <c r="J16">
        <f t="shared" si="1"/>
        <v>1.398680011783306</v>
      </c>
    </row>
    <row r="17" spans="1:10" ht="13.5" customHeight="1" x14ac:dyDescent="0.35">
      <c r="A17" s="2">
        <v>40087</v>
      </c>
      <c r="B17">
        <v>16.49491699544938</v>
      </c>
      <c r="C17">
        <v>3.6043345944380518</v>
      </c>
      <c r="D17">
        <v>4.3517446596163456</v>
      </c>
      <c r="E17">
        <v>4.5633333333333326</v>
      </c>
      <c r="F17">
        <v>0</v>
      </c>
      <c r="H17">
        <v>16.535316404720014</v>
      </c>
      <c r="I17">
        <f t="shared" si="0"/>
        <v>-4.0399409270634123E-2</v>
      </c>
      <c r="J17">
        <f t="shared" si="1"/>
        <v>0.95899873889528076</v>
      </c>
    </row>
    <row r="18" spans="1:10" ht="13.5" customHeight="1" x14ac:dyDescent="0.35">
      <c r="A18" s="2">
        <v>40179</v>
      </c>
      <c r="B18">
        <v>16.50541402522169</v>
      </c>
      <c r="C18">
        <v>6.1658753221655038</v>
      </c>
      <c r="D18">
        <v>4.3936067743631844</v>
      </c>
      <c r="E18">
        <v>4.5933333333333328</v>
      </c>
      <c r="F18">
        <v>0</v>
      </c>
      <c r="H18">
        <v>16.540718242135735</v>
      </c>
      <c r="I18">
        <f t="shared" si="0"/>
        <v>-3.5304216914045838E-2</v>
      </c>
      <c r="J18">
        <f t="shared" si="1"/>
        <v>-1.572541988832171</v>
      </c>
    </row>
    <row r="19" spans="1:10" ht="13.5" customHeight="1" x14ac:dyDescent="0.35">
      <c r="A19" s="2">
        <v>40269</v>
      </c>
      <c r="B19">
        <v>16.516236515492409</v>
      </c>
      <c r="C19">
        <v>2.7519030100945141</v>
      </c>
      <c r="D19">
        <v>3.9183582287286911</v>
      </c>
      <c r="E19">
        <v>4.5966666666666667</v>
      </c>
      <c r="F19">
        <v>0</v>
      </c>
      <c r="H19">
        <v>16.546120079551454</v>
      </c>
      <c r="I19">
        <f t="shared" si="0"/>
        <v>-2.9883564059044687E-2</v>
      </c>
      <c r="J19">
        <f t="shared" si="1"/>
        <v>1.8447636565721526</v>
      </c>
    </row>
    <row r="20" spans="1:10" ht="13.5" customHeight="1" x14ac:dyDescent="0.35">
      <c r="A20" s="2">
        <v>40360</v>
      </c>
      <c r="B20">
        <v>16.52571258223351</v>
      </c>
      <c r="C20">
        <v>2.2903256690671951</v>
      </c>
      <c r="D20">
        <v>3.7031096489413158</v>
      </c>
      <c r="E20">
        <v>4.59</v>
      </c>
      <c r="F20">
        <v>0</v>
      </c>
      <c r="H20">
        <v>16.551521916967175</v>
      </c>
      <c r="I20">
        <f t="shared" si="0"/>
        <v>-2.5809334733665423E-2</v>
      </c>
      <c r="J20">
        <f t="shared" si="1"/>
        <v>2.2996743309328047</v>
      </c>
    </row>
    <row r="21" spans="1:10" ht="13.5" customHeight="1" x14ac:dyDescent="0.35">
      <c r="A21" s="2">
        <v>40452</v>
      </c>
      <c r="B21">
        <v>16.533371060313989</v>
      </c>
      <c r="C21">
        <v>3.1103019143184918</v>
      </c>
      <c r="D21">
        <v>3.5796014789114259</v>
      </c>
      <c r="E21">
        <v>4.5633333333333326</v>
      </c>
      <c r="F21">
        <v>0</v>
      </c>
      <c r="H21">
        <v>16.556923754382893</v>
      </c>
      <c r="I21">
        <f t="shared" si="0"/>
        <v>-2.3552694068904145E-2</v>
      </c>
      <c r="J21">
        <f t="shared" si="1"/>
        <v>1.4530314190148408</v>
      </c>
    </row>
    <row r="22" spans="1:10" ht="13.5" customHeight="1" x14ac:dyDescent="0.35">
      <c r="A22" s="2">
        <v>40544</v>
      </c>
      <c r="B22">
        <v>16.541005438653031</v>
      </c>
      <c r="C22">
        <v>4.8789384281731962</v>
      </c>
      <c r="D22">
        <v>3.2578672554133492</v>
      </c>
      <c r="E22">
        <v>4.5199999999999996</v>
      </c>
      <c r="F22">
        <v>0</v>
      </c>
      <c r="H22">
        <v>16.562325591798615</v>
      </c>
      <c r="I22">
        <f t="shared" si="0"/>
        <v>-2.1320153145584442E-2</v>
      </c>
      <c r="J22">
        <f t="shared" si="1"/>
        <v>-0.35893842817319666</v>
      </c>
    </row>
    <row r="23" spans="1:10" ht="13.5" customHeight="1" x14ac:dyDescent="0.35">
      <c r="A23" s="2">
        <v>40634</v>
      </c>
      <c r="B23">
        <v>16.54626711417399</v>
      </c>
      <c r="C23">
        <v>2.4110291956751069</v>
      </c>
      <c r="D23">
        <v>3.172648801808498</v>
      </c>
      <c r="E23">
        <v>4.4866666666666672</v>
      </c>
      <c r="F23">
        <v>0</v>
      </c>
      <c r="H23">
        <v>16.567727429214333</v>
      </c>
      <c r="I23">
        <f t="shared" si="0"/>
        <v>-2.1460315040343403E-2</v>
      </c>
      <c r="J23">
        <f t="shared" si="1"/>
        <v>2.0756374709915604</v>
      </c>
    </row>
    <row r="24" spans="1:10" ht="13.5" customHeight="1" x14ac:dyDescent="0.35">
      <c r="A24" s="2">
        <v>40725</v>
      </c>
      <c r="B24">
        <v>16.56554148040345</v>
      </c>
      <c r="C24">
        <v>2.3311584027341898</v>
      </c>
      <c r="D24">
        <v>3.182856985225246</v>
      </c>
      <c r="E24">
        <v>4.4266666666666667</v>
      </c>
      <c r="F24">
        <v>0</v>
      </c>
      <c r="H24">
        <v>16.573129266630055</v>
      </c>
      <c r="I24">
        <f t="shared" si="0"/>
        <v>-7.5877862266047202E-3</v>
      </c>
      <c r="J24">
        <f t="shared" si="1"/>
        <v>2.0955082639324769</v>
      </c>
    </row>
    <row r="25" spans="1:10" ht="13.5" customHeight="1" x14ac:dyDescent="0.35">
      <c r="A25" s="2">
        <v>40817</v>
      </c>
      <c r="B25">
        <v>16.57203442871236</v>
      </c>
      <c r="C25">
        <v>3.5098124862678941</v>
      </c>
      <c r="D25">
        <v>3.2827346282125971</v>
      </c>
      <c r="E25">
        <v>4.4266666666666667</v>
      </c>
      <c r="F25">
        <v>0</v>
      </c>
      <c r="H25">
        <v>16.578531104045773</v>
      </c>
      <c r="I25">
        <f t="shared" si="0"/>
        <v>-6.4966753334125826E-3</v>
      </c>
      <c r="J25">
        <f t="shared" si="1"/>
        <v>0.91685418039877264</v>
      </c>
    </row>
    <row r="26" spans="1:10" ht="13.5" customHeight="1" x14ac:dyDescent="0.35">
      <c r="A26" s="2">
        <v>40909</v>
      </c>
      <c r="B26">
        <v>16.578610718344169</v>
      </c>
      <c r="C26">
        <v>5.1707672369560642</v>
      </c>
      <c r="D26">
        <v>3.3556918304083139</v>
      </c>
      <c r="E26">
        <v>4.4933333333333332</v>
      </c>
      <c r="F26">
        <v>0</v>
      </c>
      <c r="H26">
        <v>16.583932941461494</v>
      </c>
      <c r="I26">
        <f t="shared" si="0"/>
        <v>-5.3222231173251089E-3</v>
      </c>
      <c r="J26">
        <f t="shared" si="1"/>
        <v>-0.67743390362273104</v>
      </c>
    </row>
    <row r="27" spans="1:10" ht="13.5" customHeight="1" x14ac:dyDescent="0.35">
      <c r="A27" s="2">
        <v>41000</v>
      </c>
      <c r="B27">
        <v>16.587392286592959</v>
      </c>
      <c r="C27">
        <v>2.8624008384040782</v>
      </c>
      <c r="D27">
        <v>3.468534741090556</v>
      </c>
      <c r="E27">
        <v>4.4933333333333332</v>
      </c>
      <c r="F27">
        <v>0</v>
      </c>
      <c r="H27">
        <v>16.589334778877213</v>
      </c>
      <c r="I27">
        <f t="shared" si="0"/>
        <v>-1.9424922842539161E-3</v>
      </c>
      <c r="J27">
        <f t="shared" si="1"/>
        <v>1.630932494929255</v>
      </c>
    </row>
    <row r="28" spans="1:10" ht="13.5" customHeight="1" x14ac:dyDescent="0.35">
      <c r="A28" s="2">
        <v>41091</v>
      </c>
      <c r="B28">
        <v>16.592737021736241</v>
      </c>
      <c r="C28">
        <v>3.0548913384645271</v>
      </c>
      <c r="D28">
        <v>3.64946797502314</v>
      </c>
      <c r="E28">
        <v>4.49</v>
      </c>
      <c r="F28">
        <v>0</v>
      </c>
      <c r="H28">
        <v>16.594736616292934</v>
      </c>
      <c r="I28">
        <f t="shared" si="0"/>
        <v>-1.999594556693296E-3</v>
      </c>
      <c r="J28">
        <f t="shared" si="1"/>
        <v>1.4351086615354731</v>
      </c>
    </row>
    <row r="29" spans="1:10" ht="13.5" customHeight="1" x14ac:dyDescent="0.35">
      <c r="A29" s="2">
        <v>41183</v>
      </c>
      <c r="B29">
        <v>16.601319148902299</v>
      </c>
      <c r="C29">
        <v>2.0041130546772261</v>
      </c>
      <c r="D29">
        <v>3.2730431171254741</v>
      </c>
      <c r="E29">
        <v>4.503333333333333</v>
      </c>
      <c r="F29">
        <v>0</v>
      </c>
      <c r="H29">
        <v>16.600138453708652</v>
      </c>
      <c r="I29">
        <f t="shared" si="0"/>
        <v>1.1806951936463861E-3</v>
      </c>
      <c r="J29">
        <f t="shared" si="1"/>
        <v>2.4992202786561069</v>
      </c>
    </row>
    <row r="30" spans="1:10" ht="13.5" customHeight="1" x14ac:dyDescent="0.35">
      <c r="A30" s="2">
        <v>41275</v>
      </c>
      <c r="B30">
        <v>16.60389349237083</v>
      </c>
      <c r="C30">
        <v>3.8949479744332161</v>
      </c>
      <c r="D30">
        <v>2.9540883014947621</v>
      </c>
      <c r="E30">
        <v>4.3766666666666669</v>
      </c>
      <c r="F30">
        <v>0</v>
      </c>
      <c r="H30">
        <v>16.605540291124374</v>
      </c>
      <c r="I30">
        <f t="shared" si="0"/>
        <v>-1.6467987535442319E-3</v>
      </c>
      <c r="J30">
        <f t="shared" si="1"/>
        <v>0.48171869223345087</v>
      </c>
    </row>
    <row r="31" spans="1:10" ht="13.5" customHeight="1" x14ac:dyDescent="0.35">
      <c r="A31" s="2">
        <v>41365</v>
      </c>
      <c r="B31">
        <v>16.598592390705889</v>
      </c>
      <c r="C31">
        <v>2.5326502966600768</v>
      </c>
      <c r="D31">
        <v>2.8716506660587622</v>
      </c>
      <c r="E31">
        <v>4.0199999999999996</v>
      </c>
      <c r="F31">
        <v>0</v>
      </c>
      <c r="H31">
        <v>16.610942128540092</v>
      </c>
      <c r="I31">
        <f t="shared" si="0"/>
        <v>-1.2349737834203012E-2</v>
      </c>
      <c r="J31">
        <f t="shared" si="1"/>
        <v>1.4873497033399228</v>
      </c>
    </row>
    <row r="32" spans="1:10" ht="13.5" customHeight="1" x14ac:dyDescent="0.35">
      <c r="A32" s="2">
        <v>41456</v>
      </c>
      <c r="B32">
        <v>16.607245000607669</v>
      </c>
      <c r="C32">
        <v>1.408782329191016</v>
      </c>
      <c r="D32">
        <v>2.460123413740384</v>
      </c>
      <c r="E32">
        <v>3.9466666666666672</v>
      </c>
      <c r="F32">
        <v>0</v>
      </c>
      <c r="H32">
        <v>16.616343965955814</v>
      </c>
      <c r="I32">
        <f t="shared" si="0"/>
        <v>-9.0989653481443611E-3</v>
      </c>
      <c r="J32">
        <f t="shared" si="1"/>
        <v>2.537884337475651</v>
      </c>
    </row>
    <row r="33" spans="1:10" ht="13.5" customHeight="1" x14ac:dyDescent="0.35">
      <c r="A33" s="2">
        <v>41548</v>
      </c>
      <c r="B33">
        <v>16.613143855238619</v>
      </c>
      <c r="C33">
        <v>2.576328723736343</v>
      </c>
      <c r="D33">
        <v>2.6031773310051629</v>
      </c>
      <c r="E33">
        <v>3.6366666666666672</v>
      </c>
      <c r="F33">
        <v>0</v>
      </c>
      <c r="H33">
        <v>16.621745803371532</v>
      </c>
      <c r="I33">
        <f t="shared" si="0"/>
        <v>-8.6019481329131509E-3</v>
      </c>
      <c r="J33">
        <f t="shared" si="1"/>
        <v>1.0603379429303241</v>
      </c>
    </row>
    <row r="34" spans="1:10" ht="13.5" customHeight="1" x14ac:dyDescent="0.35">
      <c r="A34" s="2">
        <v>41640</v>
      </c>
      <c r="B34">
        <v>16.62004469823054</v>
      </c>
      <c r="C34">
        <v>5.6287894508272318</v>
      </c>
      <c r="D34">
        <v>3.0366377001036668</v>
      </c>
      <c r="E34">
        <v>3.51</v>
      </c>
      <c r="F34">
        <v>0</v>
      </c>
      <c r="H34">
        <v>16.627147640787253</v>
      </c>
      <c r="I34">
        <f t="shared" si="0"/>
        <v>-7.1029425567132876E-3</v>
      </c>
      <c r="J34">
        <f t="shared" si="1"/>
        <v>-2.118789450827232</v>
      </c>
    </row>
    <row r="35" spans="1:10" ht="13.5" customHeight="1" x14ac:dyDescent="0.35">
      <c r="A35" s="2">
        <v>41730</v>
      </c>
      <c r="B35">
        <v>16.633112553033271</v>
      </c>
      <c r="C35">
        <v>2.6440056847855549</v>
      </c>
      <c r="D35">
        <v>3.0644765471350368</v>
      </c>
      <c r="E35">
        <v>3.4033333333333329</v>
      </c>
      <c r="F35">
        <v>0</v>
      </c>
      <c r="H35">
        <v>16.632549478202971</v>
      </c>
      <c r="I35">
        <f t="shared" si="0"/>
        <v>5.6307483029982563E-4</v>
      </c>
      <c r="J35">
        <f t="shared" si="1"/>
        <v>0.75932764854777801</v>
      </c>
    </row>
    <row r="36" spans="1:10" ht="13.5" customHeight="1" x14ac:dyDescent="0.35">
      <c r="A36" s="2">
        <v>41821</v>
      </c>
      <c r="B36">
        <v>16.635570944582149</v>
      </c>
      <c r="C36">
        <v>2.413341445658967</v>
      </c>
      <c r="D36">
        <v>3.3156163262520248</v>
      </c>
      <c r="E36">
        <v>3.03</v>
      </c>
      <c r="F36">
        <v>0</v>
      </c>
      <c r="H36">
        <v>16.637951315618693</v>
      </c>
      <c r="I36">
        <f t="shared" si="0"/>
        <v>-2.3803710365442043E-3</v>
      </c>
      <c r="J36">
        <f t="shared" si="1"/>
        <v>0.61665855434103278</v>
      </c>
    </row>
    <row r="37" spans="1:10" ht="13.5" customHeight="1" x14ac:dyDescent="0.35">
      <c r="A37" s="2">
        <v>41913</v>
      </c>
      <c r="B37">
        <v>16.646655529117179</v>
      </c>
      <c r="C37">
        <v>2.4942553251926509</v>
      </c>
      <c r="D37">
        <v>3.295097976616101</v>
      </c>
      <c r="E37">
        <v>3.0566666666666671</v>
      </c>
      <c r="F37">
        <v>0</v>
      </c>
      <c r="H37">
        <v>16.643353153034411</v>
      </c>
      <c r="I37">
        <f t="shared" si="0"/>
        <v>3.302376082768177E-3</v>
      </c>
      <c r="J37">
        <f t="shared" si="1"/>
        <v>0.56241134147401617</v>
      </c>
    </row>
    <row r="38" spans="1:10" x14ac:dyDescent="0.35">
      <c r="A38" s="2">
        <v>42005</v>
      </c>
      <c r="B38">
        <v>16.65214894163481</v>
      </c>
      <c r="C38">
        <v>1.977102127062347</v>
      </c>
      <c r="D38">
        <v>2.38217614567488</v>
      </c>
      <c r="E38">
        <v>3.0566666666666671</v>
      </c>
      <c r="F38">
        <v>0</v>
      </c>
      <c r="H38">
        <v>16.648754990450133</v>
      </c>
      <c r="I38">
        <f t="shared" si="0"/>
        <v>3.39395118467678E-3</v>
      </c>
      <c r="J38">
        <f t="shared" si="1"/>
        <v>1.0795645396043201</v>
      </c>
    </row>
    <row r="39" spans="1:10" x14ac:dyDescent="0.35">
      <c r="A39" s="2">
        <v>42095</v>
      </c>
      <c r="B39">
        <v>16.664210365322479</v>
      </c>
      <c r="C39">
        <v>2.4117936189585132</v>
      </c>
      <c r="D39">
        <v>2.3241231292181199</v>
      </c>
      <c r="E39">
        <v>3.0533333333333328</v>
      </c>
      <c r="F39">
        <v>0</v>
      </c>
      <c r="H39">
        <v>16.654156827865851</v>
      </c>
      <c r="I39">
        <f t="shared" si="0"/>
        <v>1.0053537456627737E-2</v>
      </c>
      <c r="J39">
        <f t="shared" si="1"/>
        <v>0.6415397143748196</v>
      </c>
    </row>
    <row r="40" spans="1:10" x14ac:dyDescent="0.35">
      <c r="A40" s="2">
        <v>42186</v>
      </c>
      <c r="B40">
        <v>16.675838589061989</v>
      </c>
      <c r="C40">
        <v>2.454338646773579</v>
      </c>
      <c r="D40">
        <v>2.334372429496772</v>
      </c>
      <c r="E40">
        <v>3.083333333333333</v>
      </c>
      <c r="F40">
        <v>0</v>
      </c>
      <c r="H40">
        <v>16.659558665281573</v>
      </c>
      <c r="I40">
        <f t="shared" si="0"/>
        <v>1.6279923780416539E-2</v>
      </c>
      <c r="J40">
        <f t="shared" si="1"/>
        <v>0.62899468655975399</v>
      </c>
    </row>
    <row r="41" spans="1:10" x14ac:dyDescent="0.35">
      <c r="A41" s="2">
        <v>42278</v>
      </c>
      <c r="B41">
        <v>16.673596125452612</v>
      </c>
      <c r="C41">
        <v>2.8073988714663272</v>
      </c>
      <c r="D41">
        <v>2.4126583160651909</v>
      </c>
      <c r="E41">
        <v>3.1166666666666671</v>
      </c>
      <c r="F41">
        <v>0</v>
      </c>
      <c r="H41">
        <v>16.664960502697291</v>
      </c>
      <c r="I41">
        <f t="shared" si="0"/>
        <v>8.6356227553210374E-3</v>
      </c>
      <c r="J41">
        <f t="shared" si="1"/>
        <v>0.30926779520033998</v>
      </c>
    </row>
    <row r="42" spans="1:10" x14ac:dyDescent="0.35">
      <c r="A42" s="2">
        <v>42370</v>
      </c>
      <c r="B42">
        <v>16.679409436479549</v>
      </c>
      <c r="C42">
        <v>3.124455097783962</v>
      </c>
      <c r="D42">
        <v>2.699496558745595</v>
      </c>
      <c r="E42">
        <v>3.52</v>
      </c>
      <c r="F42">
        <v>0</v>
      </c>
      <c r="H42">
        <v>16.670362340113012</v>
      </c>
      <c r="I42">
        <f t="shared" si="0"/>
        <v>9.0470963665367776E-3</v>
      </c>
      <c r="J42">
        <f t="shared" si="1"/>
        <v>0.395544902216038</v>
      </c>
    </row>
    <row r="43" spans="1:10" x14ac:dyDescent="0.35">
      <c r="A43" s="2">
        <v>42461</v>
      </c>
      <c r="B43">
        <v>16.683739683887559</v>
      </c>
      <c r="C43">
        <v>3.2597647506319438</v>
      </c>
      <c r="D43">
        <v>2.911489341663954</v>
      </c>
      <c r="E43">
        <v>3.8</v>
      </c>
      <c r="F43">
        <v>0</v>
      </c>
      <c r="H43">
        <v>16.67576417752873</v>
      </c>
      <c r="I43">
        <f t="shared" si="0"/>
        <v>7.9755063588287101E-3</v>
      </c>
      <c r="J43">
        <f t="shared" si="1"/>
        <v>0.540235249368056</v>
      </c>
    </row>
    <row r="44" spans="1:10" x14ac:dyDescent="0.35">
      <c r="A44" s="2">
        <v>42552</v>
      </c>
      <c r="B44">
        <v>16.692796175714729</v>
      </c>
      <c r="C44">
        <v>2.8092321945916821</v>
      </c>
      <c r="D44">
        <v>3.0002127286184792</v>
      </c>
      <c r="E44">
        <v>4.293333333333333</v>
      </c>
      <c r="F44">
        <v>0</v>
      </c>
      <c r="H44">
        <v>16.681166014944452</v>
      </c>
      <c r="I44">
        <f t="shared" si="0"/>
        <v>1.1630160770277342E-2</v>
      </c>
      <c r="J44">
        <f t="shared" si="1"/>
        <v>1.4841011387416509</v>
      </c>
    </row>
    <row r="45" spans="1:10" x14ac:dyDescent="0.35">
      <c r="A45" s="2">
        <v>42644</v>
      </c>
      <c r="B45">
        <v>16.704530708406029</v>
      </c>
      <c r="C45">
        <v>3.9075190567076978</v>
      </c>
      <c r="D45">
        <v>3.275242774928822</v>
      </c>
      <c r="E45">
        <v>5.1133333333333333</v>
      </c>
      <c r="F45">
        <v>0</v>
      </c>
      <c r="H45">
        <v>16.68656785236017</v>
      </c>
      <c r="I45">
        <f t="shared" si="0"/>
        <v>1.7962856045858899E-2</v>
      </c>
      <c r="J45">
        <f t="shared" si="1"/>
        <v>1.2058142766256355</v>
      </c>
    </row>
    <row r="46" spans="1:10" x14ac:dyDescent="0.35">
      <c r="A46" s="2">
        <v>42736</v>
      </c>
      <c r="B46">
        <v>16.709279627345971</v>
      </c>
      <c r="C46">
        <v>6.8064444936063229</v>
      </c>
      <c r="D46">
        <v>4.1957401238844119</v>
      </c>
      <c r="E46">
        <v>6.07</v>
      </c>
      <c r="F46">
        <v>0</v>
      </c>
      <c r="H46">
        <v>16.691969689775892</v>
      </c>
      <c r="I46">
        <f t="shared" si="0"/>
        <v>1.730993757007937E-2</v>
      </c>
      <c r="J46">
        <f t="shared" si="1"/>
        <v>-0.73644449360632258</v>
      </c>
    </row>
    <row r="47" spans="1:10" x14ac:dyDescent="0.35">
      <c r="A47" s="2">
        <v>42826</v>
      </c>
      <c r="B47">
        <v>16.712482050731989</v>
      </c>
      <c r="C47">
        <v>5.6132840318900312</v>
      </c>
      <c r="D47">
        <v>4.7841199441989328</v>
      </c>
      <c r="E47">
        <v>6.6866666666666674</v>
      </c>
      <c r="F47">
        <v>0</v>
      </c>
      <c r="H47">
        <v>16.69737152719161</v>
      </c>
      <c r="I47">
        <f t="shared" si="0"/>
        <v>1.5110523540379006E-2</v>
      </c>
      <c r="J47">
        <f t="shared" si="1"/>
        <v>1.0733826347766362</v>
      </c>
    </row>
    <row r="48" spans="1:10" x14ac:dyDescent="0.35">
      <c r="A48" s="2">
        <v>42917</v>
      </c>
      <c r="B48">
        <v>16.708360498184032</v>
      </c>
      <c r="C48">
        <v>3.3432941732813188</v>
      </c>
      <c r="D48">
        <v>4.9176354388713426</v>
      </c>
      <c r="E48">
        <v>7.05</v>
      </c>
      <c r="F48">
        <v>0</v>
      </c>
      <c r="H48">
        <v>16.702773364607332</v>
      </c>
      <c r="I48">
        <f t="shared" si="0"/>
        <v>5.587133576700154E-3</v>
      </c>
      <c r="J48">
        <f t="shared" si="1"/>
        <v>3.706705826718681</v>
      </c>
    </row>
    <row r="49" spans="1:10" x14ac:dyDescent="0.35">
      <c r="A49" s="2">
        <v>43009</v>
      </c>
      <c r="B49">
        <v>16.722803480913981</v>
      </c>
      <c r="C49">
        <v>3.6057238689686022</v>
      </c>
      <c r="D49">
        <v>4.8421866419365696</v>
      </c>
      <c r="E49">
        <v>7.0966666666666667</v>
      </c>
      <c r="F49">
        <v>0</v>
      </c>
      <c r="H49">
        <v>16.70817520202305</v>
      </c>
      <c r="I49">
        <f t="shared" si="0"/>
        <v>1.4628278890931767E-2</v>
      </c>
      <c r="J49">
        <f t="shared" si="1"/>
        <v>3.4909427976980645</v>
      </c>
    </row>
    <row r="50" spans="1:10" x14ac:dyDescent="0.35">
      <c r="A50" s="2">
        <v>43101</v>
      </c>
      <c r="B50">
        <v>16.734113970301131</v>
      </c>
      <c r="C50">
        <v>4.5314078871264929</v>
      </c>
      <c r="D50">
        <v>4.2734274903166112</v>
      </c>
      <c r="E50">
        <v>7.45</v>
      </c>
      <c r="F50">
        <v>0</v>
      </c>
      <c r="H50">
        <v>16.713577039438771</v>
      </c>
      <c r="I50">
        <f t="shared" si="0"/>
        <v>2.0536930862359526E-2</v>
      </c>
      <c r="J50">
        <f t="shared" si="1"/>
        <v>2.9185921128735073</v>
      </c>
    </row>
    <row r="51" spans="1:10" x14ac:dyDescent="0.35">
      <c r="A51" s="2">
        <v>43191</v>
      </c>
      <c r="B51">
        <v>16.733409514259911</v>
      </c>
      <c r="C51">
        <v>3.1765357916665682</v>
      </c>
      <c r="D51">
        <v>3.6642404302607461</v>
      </c>
      <c r="E51">
        <v>7.586666666666666</v>
      </c>
      <c r="F51">
        <v>0</v>
      </c>
      <c r="H51">
        <v>16.718978876854489</v>
      </c>
      <c r="I51">
        <f t="shared" si="0"/>
        <v>1.443063740542172E-2</v>
      </c>
      <c r="J51">
        <f t="shared" si="1"/>
        <v>4.4101308750000978</v>
      </c>
    </row>
    <row r="52" spans="1:10" x14ac:dyDescent="0.35">
      <c r="A52" s="2">
        <v>43282</v>
      </c>
      <c r="B52">
        <v>16.736160320039929</v>
      </c>
      <c r="C52">
        <v>3.261325886763311</v>
      </c>
      <c r="D52">
        <v>3.6437483586312438</v>
      </c>
      <c r="E52">
        <v>7.8066666666666658</v>
      </c>
      <c r="F52">
        <v>0</v>
      </c>
      <c r="H52">
        <v>16.724380714270211</v>
      </c>
      <c r="I52">
        <f t="shared" si="0"/>
        <v>1.1779605769717705E-2</v>
      </c>
      <c r="J52">
        <f t="shared" si="1"/>
        <v>4.5453407799033547</v>
      </c>
    </row>
    <row r="53" spans="1:10" x14ac:dyDescent="0.35">
      <c r="A53" s="2">
        <v>43374</v>
      </c>
      <c r="B53">
        <v>16.73568077115204</v>
      </c>
      <c r="C53">
        <v>3.7845504114656809</v>
      </c>
      <c r="D53">
        <v>3.688454994255514</v>
      </c>
      <c r="E53">
        <v>7.9766666666666666</v>
      </c>
      <c r="F53">
        <v>0</v>
      </c>
      <c r="H53">
        <v>16.729782551685929</v>
      </c>
      <c r="I53">
        <f t="shared" si="0"/>
        <v>5.898219466111243E-3</v>
      </c>
      <c r="J53">
        <f t="shared" si="1"/>
        <v>4.1921162552009861</v>
      </c>
    </row>
    <row r="54" spans="1:10" x14ac:dyDescent="0.35">
      <c r="A54" s="2">
        <v>43466</v>
      </c>
      <c r="B54">
        <v>16.73615411089564</v>
      </c>
      <c r="C54">
        <v>4.0597330518520316</v>
      </c>
      <c r="D54">
        <v>3.5705362854368978</v>
      </c>
      <c r="E54">
        <v>8.26</v>
      </c>
      <c r="F54">
        <v>0</v>
      </c>
      <c r="H54">
        <v>16.735184389101651</v>
      </c>
      <c r="I54">
        <f t="shared" si="0"/>
        <v>9.6972179398946423E-4</v>
      </c>
      <c r="J54">
        <f t="shared" si="1"/>
        <v>4.2002669481479682</v>
      </c>
    </row>
    <row r="55" spans="1:10" x14ac:dyDescent="0.35">
      <c r="A55" s="2">
        <v>43556</v>
      </c>
      <c r="B55">
        <v>16.731897792917049</v>
      </c>
      <c r="C55">
        <v>4.2242758249635406</v>
      </c>
      <c r="D55">
        <v>3.832471293761142</v>
      </c>
      <c r="E55">
        <v>8.2766666666666655</v>
      </c>
      <c r="F55">
        <v>0</v>
      </c>
      <c r="H55">
        <v>16.740586226517372</v>
      </c>
      <c r="I55">
        <f t="shared" si="0"/>
        <v>-8.6884336003230089E-3</v>
      </c>
      <c r="J55">
        <f t="shared" si="1"/>
        <v>4.0523908417031249</v>
      </c>
    </row>
    <row r="56" spans="1:10" x14ac:dyDescent="0.35">
      <c r="A56" s="2">
        <v>43647</v>
      </c>
      <c r="B56">
        <v>16.734221896188519</v>
      </c>
      <c r="C56">
        <v>3.027869621785007</v>
      </c>
      <c r="D56">
        <v>3.774107227516565</v>
      </c>
      <c r="E56">
        <v>8.17</v>
      </c>
      <c r="F56">
        <v>0</v>
      </c>
      <c r="H56">
        <v>16.74598806393309</v>
      </c>
      <c r="I56">
        <f t="shared" si="0"/>
        <v>-1.1766167744571732E-2</v>
      </c>
      <c r="J56">
        <f t="shared" si="1"/>
        <v>5.1421303782149934</v>
      </c>
    </row>
    <row r="57" spans="1:10" x14ac:dyDescent="0.35">
      <c r="A57" s="2">
        <v>43739</v>
      </c>
      <c r="B57">
        <v>16.729622247151781</v>
      </c>
      <c r="C57">
        <v>3.2476644597159381</v>
      </c>
      <c r="D57">
        <v>3.63988573957913</v>
      </c>
      <c r="E57">
        <v>7.666666666666667</v>
      </c>
      <c r="F57">
        <v>0</v>
      </c>
      <c r="H57">
        <v>16.751389901348812</v>
      </c>
      <c r="I57">
        <f t="shared" si="0"/>
        <v>-2.1767654197031305E-2</v>
      </c>
      <c r="J57">
        <f t="shared" si="1"/>
        <v>4.4190022069507293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MEX Input Data</vt:lpstr>
      <vt:lpstr>truncated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Temitope FAROTIMI</cp:lastModifiedBy>
  <dcterms:created xsi:type="dcterms:W3CDTF">2026-05-25T15:13:26Z</dcterms:created>
  <dcterms:modified xsi:type="dcterms:W3CDTF">2026-05-26T21:05:07Z</dcterms:modified>
</cp:coreProperties>
</file>
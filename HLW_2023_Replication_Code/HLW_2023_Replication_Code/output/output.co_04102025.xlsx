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output\"/>
    </mc:Choice>
  </mc:AlternateContent>
  <xr:revisionPtr revIDLastSave="0" documentId="8_{709FDA12-FAC9-4D02-82AF-ACF1E83187CC}" xr6:coauthVersionLast="47" xr6:coauthVersionMax="47" xr10:uidLastSave="{00000000-0000-0000-0000-000000000000}"/>
  <bookViews>
    <workbookView xWindow="28680" yWindow="-120" windowWidth="29040" windowHeight="15840" xr2:uid="{3D4CEAA8-3978-49F1-A1C2-ADD573BB4AA4}"/>
  </bookViews>
  <sheets>
    <sheet name="output.co" sheetId="1" r:id="rId1"/>
  </sheets>
  <calcPr calcId="0"/>
</workbook>
</file>

<file path=xl/calcChain.xml><?xml version="1.0" encoding="utf-8"?>
<calcChain xmlns="http://schemas.openxmlformats.org/spreadsheetml/2006/main">
  <c r="U11" i="1" l="1"/>
  <c r="U10" i="1"/>
  <c r="U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sharedStrings.xml><?xml version="1.0" encoding="utf-8"?>
<sst xmlns="http://schemas.openxmlformats.org/spreadsheetml/2006/main" count="38" uniqueCount="36">
  <si>
    <t>Date</t>
  </si>
  <si>
    <t>rstar</t>
  </si>
  <si>
    <t>g</t>
  </si>
  <si>
    <t>z</t>
  </si>
  <si>
    <t>output gap</t>
  </si>
  <si>
    <t>real rate gap</t>
  </si>
  <si>
    <t>All results are output from the Stage 3 model.</t>
  </si>
  <si>
    <t>Standard Errors</t>
  </si>
  <si>
    <t>y*</t>
  </si>
  <si>
    <t>r*</t>
  </si>
  <si>
    <t>Parameter Point Estimates</t>
  </si>
  <si>
    <t>a_y1</t>
  </si>
  <si>
    <t>a_y2</t>
  </si>
  <si>
    <t>a_r</t>
  </si>
  <si>
    <t>b_pi</t>
  </si>
  <si>
    <t>b_y</t>
  </si>
  <si>
    <t>sigma_ygap</t>
  </si>
  <si>
    <t>sigma_pi</t>
  </si>
  <si>
    <t>sigma_ystar</t>
  </si>
  <si>
    <t>phi</t>
  </si>
  <si>
    <t>c</t>
  </si>
  <si>
    <t>a_y1 + a_y2</t>
  </si>
  <si>
    <t>Signal-to-noise Ratios</t>
  </si>
  <si>
    <t>Log Likelihood</t>
  </si>
  <si>
    <t>lambda_g</t>
  </si>
  <si>
    <t>lambda_z</t>
  </si>
  <si>
    <t>State vector: [y_{t}* y_{t-1}* y_{t-2}* g_{t} g_{t-1} g_{t-2} z_{t} z_{t-1} z_{t-2}]</t>
  </si>
  <si>
    <t>Initial State Vector</t>
  </si>
  <si>
    <t>Initial Covariance Matrix</t>
  </si>
  <si>
    <t>inflation</t>
  </si>
  <si>
    <t>interest</t>
  </si>
  <si>
    <t>r* + inflation</t>
  </si>
  <si>
    <t>Correlation</t>
  </si>
  <si>
    <t>r*, inflation</t>
  </si>
  <si>
    <t>r*, interest</t>
  </si>
  <si>
    <t>r* + inflation,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</si>
</sst>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0" fillId="6" borderId="5" xfId="10"/>
    <xf numFmtId="0" fontId="9" fillId="5" borderId="4" xfId="9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output.co!$B$1</c:f>
              <c:strCache>
                <c:ptCount val="1"/>
                <c:pt idx="0">
                  <c:v>rstar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output.co!$A$2:$A$71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output.co!$B$2:$B$71</c:f>
              <c:numCache>
                <c:formatCode>General</c:formatCode>
                <c:ptCount val="70"/>
                <c:pt idx="0">
                  <c:v>2.51962398329592</c:v>
                </c:pt>
                <c:pt idx="1">
                  <c:v>2.3983409385865602</c:v>
                </c:pt>
                <c:pt idx="2">
                  <c:v>2.5053989837258399</c:v>
                </c:pt>
                <c:pt idx="3">
                  <c:v>2.6371141158547502</c:v>
                </c:pt>
                <c:pt idx="4">
                  <c:v>2.6642863451118899</c:v>
                </c:pt>
                <c:pt idx="5">
                  <c:v>2.67448190612809</c:v>
                </c:pt>
                <c:pt idx="6">
                  <c:v>2.8752474363600999</c:v>
                </c:pt>
                <c:pt idx="7">
                  <c:v>2.98906910314009</c:v>
                </c:pt>
                <c:pt idx="8">
                  <c:v>2.9258078942550001</c:v>
                </c:pt>
                <c:pt idx="9">
                  <c:v>2.9235908012266898</c:v>
                </c:pt>
                <c:pt idx="10">
                  <c:v>2.9376734878170501</c:v>
                </c:pt>
                <c:pt idx="11">
                  <c:v>2.72101251826115</c:v>
                </c:pt>
                <c:pt idx="12">
                  <c:v>2.63871645569052</c:v>
                </c:pt>
                <c:pt idx="13">
                  <c:v>2.56916942479118</c:v>
                </c:pt>
                <c:pt idx="14">
                  <c:v>2.4018027942660298</c:v>
                </c:pt>
                <c:pt idx="15">
                  <c:v>2.1420769503159001</c:v>
                </c:pt>
                <c:pt idx="16">
                  <c:v>1.9975413547904299</c:v>
                </c:pt>
                <c:pt idx="17">
                  <c:v>1.8850261855082</c:v>
                </c:pt>
                <c:pt idx="18">
                  <c:v>1.71262045775181</c:v>
                </c:pt>
                <c:pt idx="19">
                  <c:v>1.6983648813109899</c:v>
                </c:pt>
                <c:pt idx="20">
                  <c:v>1.8667870689432799</c:v>
                </c:pt>
                <c:pt idx="21">
                  <c:v>1.8693183190904099</c:v>
                </c:pt>
                <c:pt idx="22">
                  <c:v>1.9590412623265101</c:v>
                </c:pt>
                <c:pt idx="23">
                  <c:v>1.98736888038094</c:v>
                </c:pt>
                <c:pt idx="24">
                  <c:v>2.2143654232990699</c:v>
                </c:pt>
                <c:pt idx="25">
                  <c:v>2.1089589780064899</c:v>
                </c:pt>
                <c:pt idx="26">
                  <c:v>1.8901244447687</c:v>
                </c:pt>
                <c:pt idx="27">
                  <c:v>1.8061278725669501</c:v>
                </c:pt>
                <c:pt idx="28">
                  <c:v>1.8972443951093001</c:v>
                </c:pt>
                <c:pt idx="29">
                  <c:v>2.1580153819975201</c:v>
                </c:pt>
                <c:pt idx="30">
                  <c:v>2.00965362108108</c:v>
                </c:pt>
                <c:pt idx="31">
                  <c:v>1.9157483112776399</c:v>
                </c:pt>
                <c:pt idx="32">
                  <c:v>2.0668341976619602</c:v>
                </c:pt>
                <c:pt idx="33">
                  <c:v>2.0675178354973398</c:v>
                </c:pt>
                <c:pt idx="34">
                  <c:v>1.9879784753410501</c:v>
                </c:pt>
                <c:pt idx="35">
                  <c:v>1.9259878622139801</c:v>
                </c:pt>
                <c:pt idx="36">
                  <c:v>2.09750249294488</c:v>
                </c:pt>
                <c:pt idx="37">
                  <c:v>2.2405654240539499</c:v>
                </c:pt>
                <c:pt idx="38">
                  <c:v>2.17092059186009</c:v>
                </c:pt>
                <c:pt idx="39">
                  <c:v>2.1728559513104302</c:v>
                </c:pt>
                <c:pt idx="40">
                  <c:v>2.5577455108573601</c:v>
                </c:pt>
                <c:pt idx="41">
                  <c:v>2.5024761637440101</c:v>
                </c:pt>
                <c:pt idx="42">
                  <c:v>2.1348875369196398</c:v>
                </c:pt>
                <c:pt idx="43">
                  <c:v>1.6989608413838599</c:v>
                </c:pt>
                <c:pt idx="44">
                  <c:v>1.8233123898107599</c:v>
                </c:pt>
                <c:pt idx="45">
                  <c:v>1.7450479851638501</c:v>
                </c:pt>
                <c:pt idx="46">
                  <c:v>1.26590914079062</c:v>
                </c:pt>
                <c:pt idx="47">
                  <c:v>0.90469843555666496</c:v>
                </c:pt>
                <c:pt idx="48">
                  <c:v>0.98771859226985204</c:v>
                </c:pt>
                <c:pt idx="49">
                  <c:v>1.04612469808788</c:v>
                </c:pt>
                <c:pt idx="50">
                  <c:v>0.81826188560676005</c:v>
                </c:pt>
                <c:pt idx="51">
                  <c:v>0.59209892420875398</c:v>
                </c:pt>
                <c:pt idx="52">
                  <c:v>0.86708376004587795</c:v>
                </c:pt>
                <c:pt idx="53">
                  <c:v>1.03350090910479</c:v>
                </c:pt>
                <c:pt idx="54">
                  <c:v>0.91369792042728704</c:v>
                </c:pt>
                <c:pt idx="55">
                  <c:v>0.70876601696000596</c:v>
                </c:pt>
                <c:pt idx="56">
                  <c:v>0.63536878365266503</c:v>
                </c:pt>
                <c:pt idx="57">
                  <c:v>-1.55707011354172</c:v>
                </c:pt>
                <c:pt idx="58">
                  <c:v>-1.00323705572291</c:v>
                </c:pt>
                <c:pt idx="59">
                  <c:v>-0.56974088012760804</c:v>
                </c:pt>
                <c:pt idx="60">
                  <c:v>-2.4539508956407802E-2</c:v>
                </c:pt>
                <c:pt idx="61">
                  <c:v>7.1826213363118702E-2</c:v>
                </c:pt>
                <c:pt idx="62">
                  <c:v>0.71814259818395698</c:v>
                </c:pt>
                <c:pt idx="63">
                  <c:v>0.88280824223918897</c:v>
                </c:pt>
                <c:pt idx="64">
                  <c:v>1.95621193068038</c:v>
                </c:pt>
                <c:pt idx="65">
                  <c:v>2.5996517005217599</c:v>
                </c:pt>
                <c:pt idx="66">
                  <c:v>2.7323909389840702</c:v>
                </c:pt>
                <c:pt idx="67">
                  <c:v>2.4750473484645399</c:v>
                </c:pt>
                <c:pt idx="68">
                  <c:v>3.3194898754803499</c:v>
                </c:pt>
                <c:pt idx="69">
                  <c:v>2.9744803857299398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87-4A38-9292-3C149AD6F0F4}"/>
            </c:ext>
          </c:extLst>
        </c:ser>
        <c:ser>
          <c:idx val="1"/>
          <c:order val="1"/>
          <c:tx>
            <c:strRef>
              <c:f>output.co!$G$1</c:f>
              <c:strCache>
                <c:ptCount val="1"/>
                <c:pt idx="0">
                  <c:v>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output.co!$A$2:$A$71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output.co!$G$2:$G$71</c:f>
              <c:numCache>
                <c:formatCode>General</c:formatCode>
                <c:ptCount val="70"/>
                <c:pt idx="0">
                  <c:v>5.3317142972961529</c:v>
                </c:pt>
                <c:pt idx="1">
                  <c:v>4.4750050602835101</c:v>
                </c:pt>
                <c:pt idx="2">
                  <c:v>3.8155400180669208</c:v>
                </c:pt>
                <c:pt idx="3">
                  <c:v>3.3305088246288639</c:v>
                </c:pt>
                <c:pt idx="4">
                  <c:v>8.6940310936565837</c:v>
                </c:pt>
                <c:pt idx="5">
                  <c:v>8.7181134089241219</c:v>
                </c:pt>
                <c:pt idx="6">
                  <c:v>3.5173659357056408</c:v>
                </c:pt>
                <c:pt idx="7">
                  <c:v>2.9846217966762678</c:v>
                </c:pt>
                <c:pt idx="8">
                  <c:v>8.7587634179467919</c:v>
                </c:pt>
                <c:pt idx="9">
                  <c:v>6.4805553489586387</c:v>
                </c:pt>
                <c:pt idx="10">
                  <c:v>3.3260683598736569</c:v>
                </c:pt>
                <c:pt idx="11">
                  <c:v>4.3591355566794387</c:v>
                </c:pt>
                <c:pt idx="12">
                  <c:v>7.2248197324674024</c:v>
                </c:pt>
                <c:pt idx="13">
                  <c:v>4.8591097885668946</c:v>
                </c:pt>
                <c:pt idx="14">
                  <c:v>2.1555893341714372</c:v>
                </c:pt>
                <c:pt idx="15">
                  <c:v>1.0276641828627091</c:v>
                </c:pt>
                <c:pt idx="16">
                  <c:v>5.2883655467295787</c:v>
                </c:pt>
                <c:pt idx="17">
                  <c:v>2.7797269020611641</c:v>
                </c:pt>
                <c:pt idx="18">
                  <c:v>1.328702246627222</c:v>
                </c:pt>
                <c:pt idx="19">
                  <c:v>1.1525196340635311</c:v>
                </c:pt>
                <c:pt idx="20">
                  <c:v>5.4691601542762092</c:v>
                </c:pt>
                <c:pt idx="21">
                  <c:v>2.4932237473901608</c:v>
                </c:pt>
                <c:pt idx="22">
                  <c:v>2.4662303483315551</c:v>
                </c:pt>
                <c:pt idx="23">
                  <c:v>3.1165965480741238</c:v>
                </c:pt>
                <c:pt idx="24">
                  <c:v>6.0910310030109827</c:v>
                </c:pt>
                <c:pt idx="25">
                  <c:v>2.3510901876280239</c:v>
                </c:pt>
                <c:pt idx="26">
                  <c:v>1.7810933173610271</c:v>
                </c:pt>
                <c:pt idx="27">
                  <c:v>1.507599640142665</c:v>
                </c:pt>
                <c:pt idx="28">
                  <c:v>3.8421039601338252</c:v>
                </c:pt>
                <c:pt idx="29">
                  <c:v>3.1890965703908591</c:v>
                </c:pt>
                <c:pt idx="30">
                  <c:v>1.6047169317173979</c:v>
                </c:pt>
                <c:pt idx="31">
                  <c:v>1.1570303621354581</c:v>
                </c:pt>
                <c:pt idx="32">
                  <c:v>4.1138290931098442</c:v>
                </c:pt>
                <c:pt idx="33">
                  <c:v>3.8543754237657661</c:v>
                </c:pt>
                <c:pt idx="34">
                  <c:v>2.1642180596148641</c:v>
                </c:pt>
                <c:pt idx="35">
                  <c:v>2.2243997964932931</c:v>
                </c:pt>
                <c:pt idx="36">
                  <c:v>5.5004383263794976</c:v>
                </c:pt>
                <c:pt idx="37">
                  <c:v>5.6490402571211629</c:v>
                </c:pt>
                <c:pt idx="38">
                  <c:v>3.5956270260007579</c:v>
                </c:pt>
                <c:pt idx="39">
                  <c:v>6.12289990163426</c:v>
                </c:pt>
                <c:pt idx="40">
                  <c:v>10.127523048240519</c:v>
                </c:pt>
                <c:pt idx="41">
                  <c:v>7.2856167812853636</c:v>
                </c:pt>
                <c:pt idx="42">
                  <c:v>4.4300892525515723</c:v>
                </c:pt>
                <c:pt idx="43">
                  <c:v>3.2798897876752391</c:v>
                </c:pt>
                <c:pt idx="44">
                  <c:v>8.4654834089102913</c:v>
                </c:pt>
                <c:pt idx="45">
                  <c:v>5.7712008304133144</c:v>
                </c:pt>
                <c:pt idx="46">
                  <c:v>1.226694122582406</c:v>
                </c:pt>
                <c:pt idx="47">
                  <c:v>1.890066769606946</c:v>
                </c:pt>
                <c:pt idx="48">
                  <c:v>5.8146926174192037</c:v>
                </c:pt>
                <c:pt idx="49">
                  <c:v>4.1158658720404473</c:v>
                </c:pt>
                <c:pt idx="50">
                  <c:v>1.303950458551939</c:v>
                </c:pt>
                <c:pt idx="51">
                  <c:v>1.774788697728336</c:v>
                </c:pt>
                <c:pt idx="52">
                  <c:v>5.5287298942575003</c:v>
                </c:pt>
                <c:pt idx="53">
                  <c:v>4.7022907750788878</c:v>
                </c:pt>
                <c:pt idx="54">
                  <c:v>2.1619180585342961</c:v>
                </c:pt>
                <c:pt idx="55">
                  <c:v>2.549796689704964</c:v>
                </c:pt>
                <c:pt idx="56">
                  <c:v>5.1009266998917724</c:v>
                </c:pt>
                <c:pt idx="57">
                  <c:v>1.0182076179365169</c:v>
                </c:pt>
                <c:pt idx="58">
                  <c:v>0.31352859101567709</c:v>
                </c:pt>
                <c:pt idx="59">
                  <c:v>1.7256844533205971</c:v>
                </c:pt>
                <c:pt idx="60">
                  <c:v>3.891140891906653</c:v>
                </c:pt>
                <c:pt idx="61">
                  <c:v>4.9820898080255249</c:v>
                </c:pt>
                <c:pt idx="62">
                  <c:v>4.4906798489021682</c:v>
                </c:pt>
                <c:pt idx="63">
                  <c:v>3.0127745295906339</c:v>
                </c:pt>
                <c:pt idx="64">
                  <c:v>13.04747333376819</c:v>
                </c:pt>
                <c:pt idx="65">
                  <c:v>11.95716554957473</c:v>
                </c:pt>
                <c:pt idx="66">
                  <c:v>9.9600369707198766</c:v>
                </c:pt>
                <c:pt idx="67">
                  <c:v>9.7121109021589334</c:v>
                </c:pt>
                <c:pt idx="68">
                  <c:v>17.075218157969768</c:v>
                </c:pt>
                <c:pt idx="69">
                  <c:v>11.00628442178995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87-4A38-9292-3C149AD6F0F4}"/>
            </c:ext>
          </c:extLst>
        </c:ser>
        <c:ser>
          <c:idx val="2"/>
          <c:order val="2"/>
          <c:tx>
            <c:strRef>
              <c:f>output.co!$H$1</c:f>
              <c:strCache>
                <c:ptCount val="1"/>
                <c:pt idx="0">
                  <c:v>interest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output.co!$A$2:$A$71</c:f>
              <c:numCache>
                <c:formatCode>m/d/yyyy</c:formatCode>
                <c:ptCount val="70"/>
                <c:pt idx="0">
                  <c:v>38718</c:v>
                </c:pt>
                <c:pt idx="1">
                  <c:v>38808</c:v>
                </c:pt>
                <c:pt idx="2">
                  <c:v>38899</c:v>
                </c:pt>
                <c:pt idx="3">
                  <c:v>38991</c:v>
                </c:pt>
                <c:pt idx="4">
                  <c:v>39083</c:v>
                </c:pt>
                <c:pt idx="5">
                  <c:v>39173</c:v>
                </c:pt>
                <c:pt idx="6">
                  <c:v>39264</c:v>
                </c:pt>
                <c:pt idx="7">
                  <c:v>39356</c:v>
                </c:pt>
                <c:pt idx="8">
                  <c:v>39448</c:v>
                </c:pt>
                <c:pt idx="9">
                  <c:v>39539</c:v>
                </c:pt>
                <c:pt idx="10">
                  <c:v>39630</c:v>
                </c:pt>
                <c:pt idx="11">
                  <c:v>39722</c:v>
                </c:pt>
                <c:pt idx="12">
                  <c:v>39814</c:v>
                </c:pt>
                <c:pt idx="13">
                  <c:v>39904</c:v>
                </c:pt>
                <c:pt idx="14">
                  <c:v>39995</c:v>
                </c:pt>
                <c:pt idx="15">
                  <c:v>40087</c:v>
                </c:pt>
                <c:pt idx="16">
                  <c:v>40179</c:v>
                </c:pt>
                <c:pt idx="17">
                  <c:v>40269</c:v>
                </c:pt>
                <c:pt idx="18">
                  <c:v>40360</c:v>
                </c:pt>
                <c:pt idx="19">
                  <c:v>40452</c:v>
                </c:pt>
                <c:pt idx="20">
                  <c:v>40544</c:v>
                </c:pt>
                <c:pt idx="21">
                  <c:v>40634</c:v>
                </c:pt>
                <c:pt idx="22">
                  <c:v>40725</c:v>
                </c:pt>
                <c:pt idx="23">
                  <c:v>40817</c:v>
                </c:pt>
                <c:pt idx="24">
                  <c:v>40909</c:v>
                </c:pt>
                <c:pt idx="25">
                  <c:v>41000</c:v>
                </c:pt>
                <c:pt idx="26">
                  <c:v>41091</c:v>
                </c:pt>
                <c:pt idx="27">
                  <c:v>41183</c:v>
                </c:pt>
                <c:pt idx="28">
                  <c:v>41275</c:v>
                </c:pt>
                <c:pt idx="29">
                  <c:v>41365</c:v>
                </c:pt>
                <c:pt idx="30">
                  <c:v>41456</c:v>
                </c:pt>
                <c:pt idx="31">
                  <c:v>41548</c:v>
                </c:pt>
                <c:pt idx="32">
                  <c:v>41640</c:v>
                </c:pt>
                <c:pt idx="33">
                  <c:v>41730</c:v>
                </c:pt>
                <c:pt idx="34">
                  <c:v>41821</c:v>
                </c:pt>
                <c:pt idx="35">
                  <c:v>41913</c:v>
                </c:pt>
                <c:pt idx="36">
                  <c:v>42005</c:v>
                </c:pt>
                <c:pt idx="37">
                  <c:v>42095</c:v>
                </c:pt>
                <c:pt idx="38">
                  <c:v>42186</c:v>
                </c:pt>
                <c:pt idx="39">
                  <c:v>42278</c:v>
                </c:pt>
                <c:pt idx="40">
                  <c:v>42370</c:v>
                </c:pt>
                <c:pt idx="41">
                  <c:v>42461</c:v>
                </c:pt>
                <c:pt idx="42">
                  <c:v>42552</c:v>
                </c:pt>
                <c:pt idx="43">
                  <c:v>42644</c:v>
                </c:pt>
                <c:pt idx="44">
                  <c:v>42736</c:v>
                </c:pt>
                <c:pt idx="45">
                  <c:v>42826</c:v>
                </c:pt>
                <c:pt idx="46">
                  <c:v>42917</c:v>
                </c:pt>
                <c:pt idx="47">
                  <c:v>43009</c:v>
                </c:pt>
                <c:pt idx="48">
                  <c:v>43101</c:v>
                </c:pt>
                <c:pt idx="49">
                  <c:v>43191</c:v>
                </c:pt>
                <c:pt idx="50">
                  <c:v>43282</c:v>
                </c:pt>
                <c:pt idx="51">
                  <c:v>43374</c:v>
                </c:pt>
                <c:pt idx="52">
                  <c:v>43466</c:v>
                </c:pt>
                <c:pt idx="53">
                  <c:v>43556</c:v>
                </c:pt>
                <c:pt idx="54">
                  <c:v>43647</c:v>
                </c:pt>
                <c:pt idx="55">
                  <c:v>43739</c:v>
                </c:pt>
                <c:pt idx="56">
                  <c:v>43831</c:v>
                </c:pt>
                <c:pt idx="57">
                  <c:v>43922</c:v>
                </c:pt>
                <c:pt idx="58">
                  <c:v>44013</c:v>
                </c:pt>
                <c:pt idx="59">
                  <c:v>44105</c:v>
                </c:pt>
                <c:pt idx="60">
                  <c:v>44197</c:v>
                </c:pt>
                <c:pt idx="61">
                  <c:v>44287</c:v>
                </c:pt>
                <c:pt idx="62">
                  <c:v>44378</c:v>
                </c:pt>
                <c:pt idx="63">
                  <c:v>44470</c:v>
                </c:pt>
                <c:pt idx="64">
                  <c:v>44562</c:v>
                </c:pt>
                <c:pt idx="65">
                  <c:v>44652</c:v>
                </c:pt>
                <c:pt idx="66">
                  <c:v>44743</c:v>
                </c:pt>
                <c:pt idx="67">
                  <c:v>44835</c:v>
                </c:pt>
                <c:pt idx="68">
                  <c:v>44927</c:v>
                </c:pt>
                <c:pt idx="69">
                  <c:v>45017</c:v>
                </c:pt>
              </c:numCache>
            </c:numRef>
          </c:cat>
          <c:val>
            <c:numRef>
              <c:f>output.co!$H$2:$H$71</c:f>
              <c:numCache>
                <c:formatCode>General</c:formatCode>
                <c:ptCount val="70"/>
                <c:pt idx="0">
                  <c:v>5.9220548026984128</c:v>
                </c:pt>
                <c:pt idx="1">
                  <c:v>6.1756751528813556</c:v>
                </c:pt>
                <c:pt idx="2">
                  <c:v>6.6607508908196724</c:v>
                </c:pt>
                <c:pt idx="3">
                  <c:v>7.2087983672881357</c:v>
                </c:pt>
                <c:pt idx="4">
                  <c:v>7.7639359920967754</c:v>
                </c:pt>
                <c:pt idx="5">
                  <c:v>8.4566970369491532</c:v>
                </c:pt>
                <c:pt idx="6">
                  <c:v>9.1761128231147531</c:v>
                </c:pt>
                <c:pt idx="7">
                  <c:v>9.2672725260655735</c:v>
                </c:pt>
                <c:pt idx="8">
                  <c:v>9.509483530333334</c:v>
                </c:pt>
                <c:pt idx="9">
                  <c:v>9.6636379194999993</c:v>
                </c:pt>
                <c:pt idx="10">
                  <c:v>9.9402703889062494</c:v>
                </c:pt>
                <c:pt idx="11">
                  <c:v>9.7752281748333338</c:v>
                </c:pt>
                <c:pt idx="12">
                  <c:v>8.5575287862295077</c:v>
                </c:pt>
                <c:pt idx="13">
                  <c:v>5.9955650712068964</c:v>
                </c:pt>
                <c:pt idx="14">
                  <c:v>4.3468675699999997</c:v>
                </c:pt>
                <c:pt idx="15">
                  <c:v>3.7020939005</c:v>
                </c:pt>
                <c:pt idx="16">
                  <c:v>3.3491804378688519</c:v>
                </c:pt>
                <c:pt idx="17">
                  <c:v>3.1813728895</c:v>
                </c:pt>
                <c:pt idx="18">
                  <c:v>3.0369425639682541</c:v>
                </c:pt>
                <c:pt idx="19">
                  <c:v>3.025783482833333</c:v>
                </c:pt>
                <c:pt idx="20">
                  <c:v>3.1521539856451608</c:v>
                </c:pt>
                <c:pt idx="21">
                  <c:v>3.8405066214754102</c:v>
                </c:pt>
                <c:pt idx="22">
                  <c:v>4.4905237047619053</c:v>
                </c:pt>
                <c:pt idx="23">
                  <c:v>4.6706580208474584</c:v>
                </c:pt>
                <c:pt idx="24">
                  <c:v>5.0223701415873014</c:v>
                </c:pt>
                <c:pt idx="25">
                  <c:v>5.2724438194915253</c:v>
                </c:pt>
                <c:pt idx="26">
                  <c:v>5.0872248950819676</c:v>
                </c:pt>
                <c:pt idx="27">
                  <c:v>4.6598736983333326</c:v>
                </c:pt>
                <c:pt idx="28">
                  <c:v>3.9617389040677971</c:v>
                </c:pt>
                <c:pt idx="29">
                  <c:v>3.1716703475409829</c:v>
                </c:pt>
                <c:pt idx="30">
                  <c:v>3.2505521153968249</c:v>
                </c:pt>
                <c:pt idx="31">
                  <c:v>3.2584420158333329</c:v>
                </c:pt>
                <c:pt idx="32">
                  <c:v>3.2172666272131152</c:v>
                </c:pt>
                <c:pt idx="33">
                  <c:v>3.493737834745763</c:v>
                </c:pt>
                <c:pt idx="34">
                  <c:v>4.1544997621875002</c:v>
                </c:pt>
                <c:pt idx="35">
                  <c:v>4.5036931886440676</c:v>
                </c:pt>
                <c:pt idx="36">
                  <c:v>4.5148703936065573</c:v>
                </c:pt>
                <c:pt idx="37">
                  <c:v>4.5194675475862063</c:v>
                </c:pt>
                <c:pt idx="38">
                  <c:v>4.5423539533333326</c:v>
                </c:pt>
                <c:pt idx="39">
                  <c:v>5.1854215489830509</c:v>
                </c:pt>
                <c:pt idx="40">
                  <c:v>6.0680636961666661</c:v>
                </c:pt>
                <c:pt idx="41">
                  <c:v>6.9525643398387098</c:v>
                </c:pt>
                <c:pt idx="42">
                  <c:v>7.6758787790476184</c:v>
                </c:pt>
                <c:pt idx="43">
                  <c:v>7.7212433947457626</c:v>
                </c:pt>
                <c:pt idx="44">
                  <c:v>7.3886283136507931</c:v>
                </c:pt>
                <c:pt idx="45">
                  <c:v>6.5633613584745758</c:v>
                </c:pt>
                <c:pt idx="46">
                  <c:v>5.5001441340983606</c:v>
                </c:pt>
                <c:pt idx="47">
                  <c:v>5.0046066691379307</c:v>
                </c:pt>
                <c:pt idx="48">
                  <c:v>4.5719102505000002</c:v>
                </c:pt>
                <c:pt idx="49">
                  <c:v>4.3105842522950821</c:v>
                </c:pt>
                <c:pt idx="50">
                  <c:v>4.2557257895081966</c:v>
                </c:pt>
                <c:pt idx="51">
                  <c:v>4.2538784546666664</c:v>
                </c:pt>
                <c:pt idx="52">
                  <c:v>4.2555814772131146</c:v>
                </c:pt>
                <c:pt idx="53">
                  <c:v>4.260639622666667</c:v>
                </c:pt>
                <c:pt idx="54">
                  <c:v>4.2631764066666671</c:v>
                </c:pt>
                <c:pt idx="55">
                  <c:v>4.2578333131666666</c:v>
                </c:pt>
                <c:pt idx="56">
                  <c:v>4.2234061409677421</c:v>
                </c:pt>
                <c:pt idx="57">
                  <c:v>3.2266335736206901</c:v>
                </c:pt>
                <c:pt idx="58">
                  <c:v>2.226156826984127</c:v>
                </c:pt>
                <c:pt idx="59">
                  <c:v>1.753357668474576</c:v>
                </c:pt>
                <c:pt idx="60">
                  <c:v>1.734076304918033</c:v>
                </c:pt>
                <c:pt idx="61">
                  <c:v>1.750735391666667</c:v>
                </c:pt>
                <c:pt idx="62">
                  <c:v>1.7681322442857139</c:v>
                </c:pt>
                <c:pt idx="63">
                  <c:v>2.4432255373333329</c:v>
                </c:pt>
                <c:pt idx="64">
                  <c:v>3.757294426129032</c:v>
                </c:pt>
                <c:pt idx="65">
                  <c:v>5.7572492280000001</c:v>
                </c:pt>
                <c:pt idx="66">
                  <c:v>8.5769977660317451</c:v>
                </c:pt>
                <c:pt idx="67">
                  <c:v>10.822290113559321</c:v>
                </c:pt>
                <c:pt idx="68">
                  <c:v>12.46550412952381</c:v>
                </c:pt>
                <c:pt idx="69">
                  <c:v>13.19447442186441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87-4A38-9292-3C149AD6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595007"/>
        <c:axId val="1415590207"/>
      </c:lineChart>
      <c:dateAx>
        <c:axId val="141559500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90207"/>
        <c:crosses val="autoZero"/>
        <c:auto val="1"/>
        <c:lblOffset val="100"/>
        <c:baseTimeUnit val="months"/>
      </c:dateAx>
      <c:valAx>
        <c:axId val="14155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9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234949</xdr:colOff>
      <xdr:row>4</xdr:row>
      <xdr:rowOff>20637</xdr:rowOff>
    </xdr:from>
    <xdr:to>
      <xdr:col>17</xdr:col>
      <xdr:colOff>581024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C6F38-23D1-39A4-EB93-05677659A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C6F0-1608-4498-94CB-3813E390AE62}">
  <dimension ref="A1:AC71"/>
  <sheetViews>
    <sheetView tabSelected="1" workbookViewId="0">
      <selection activeCell="V9" sqref="V9"/>
    </sheetView>
  </sheetViews>
  <sheetFormatPr defaultRowHeight="14.5" x14ac:dyDescent="0.35"/>
  <cols>
    <col min="7" max="8" width="8.7265625" style="3"/>
    <col min="9" max="9" width="11.453125" style="3" bestFit="1" customWidth="1"/>
    <col min="20" max="20" width="19.632812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29</v>
      </c>
      <c r="H1" s="3" t="s">
        <v>30</v>
      </c>
      <c r="I1" s="3" t="s">
        <v>31</v>
      </c>
      <c r="J1" t="s">
        <v>6</v>
      </c>
      <c r="Y1" t="s">
        <v>7</v>
      </c>
      <c r="Z1" t="s">
        <v>0</v>
      </c>
      <c r="AA1" t="s">
        <v>8</v>
      </c>
      <c r="AB1" t="s">
        <v>9</v>
      </c>
      <c r="AC1" t="s">
        <v>2</v>
      </c>
    </row>
    <row r="2" spans="1:29" x14ac:dyDescent="0.35">
      <c r="A2" s="1">
        <v>38718</v>
      </c>
      <c r="B2">
        <v>2.51962398329592</v>
      </c>
      <c r="C2">
        <v>4.1847126961092496</v>
      </c>
      <c r="D2">
        <v>-9.5609994963173801E-4</v>
      </c>
      <c r="E2">
        <v>-1.35840968347179</v>
      </c>
      <c r="F2">
        <v>-4.0320599013379699E-2</v>
      </c>
      <c r="G2" s="3">
        <v>5.3317142972961529</v>
      </c>
      <c r="H2" s="3">
        <v>5.9220548026984128</v>
      </c>
      <c r="I2" s="3">
        <f>B2+G2</f>
        <v>7.8513382805920724</v>
      </c>
      <c r="J2" t="s">
        <v>10</v>
      </c>
    </row>
    <row r="3" spans="1:29" x14ac:dyDescent="0.35">
      <c r="A3" s="1">
        <v>38808</v>
      </c>
      <c r="B3">
        <v>2.3983409385865602</v>
      </c>
      <c r="C3">
        <v>4.00106575804553</v>
      </c>
      <c r="D3">
        <v>-1.16229929545209E-2</v>
      </c>
      <c r="E3">
        <v>-1.09482036682539</v>
      </c>
      <c r="F3">
        <v>0.36522234778621299</v>
      </c>
      <c r="G3" s="3">
        <v>4.4750050602835101</v>
      </c>
      <c r="H3" s="3">
        <v>6.1756751528813556</v>
      </c>
      <c r="I3" s="3">
        <f t="shared" ref="I3:I66" si="0">B3+G3</f>
        <v>6.8733459988700698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</row>
    <row r="4" spans="1:29" x14ac:dyDescent="0.35">
      <c r="A4" s="1">
        <v>38899</v>
      </c>
      <c r="B4">
        <v>2.5053989837258399</v>
      </c>
      <c r="C4">
        <v>4.14867524987433</v>
      </c>
      <c r="D4">
        <v>6.5253534263205798E-3</v>
      </c>
      <c r="E4">
        <v>-0.24822392135229199</v>
      </c>
      <c r="F4">
        <v>0.342496306075669</v>
      </c>
      <c r="G4" s="3">
        <v>3.8155400180669208</v>
      </c>
      <c r="H4" s="3">
        <v>6.6607508908196724</v>
      </c>
      <c r="I4" s="3">
        <f t="shared" si="0"/>
        <v>6.3209390017927607</v>
      </c>
      <c r="J4">
        <v>0.65506044783636297</v>
      </c>
      <c r="K4">
        <v>-2.0993424850574501E-3</v>
      </c>
      <c r="L4">
        <v>-0.461033759466149</v>
      </c>
      <c r="M4">
        <v>0.29754482385709702</v>
      </c>
      <c r="N4">
        <v>0.16324055180260799</v>
      </c>
      <c r="O4">
        <v>2.4746850584484199</v>
      </c>
      <c r="P4">
        <v>2.3298480279454998</v>
      </c>
      <c r="Q4">
        <v>0.44517046487233403</v>
      </c>
      <c r="R4">
        <v>0</v>
      </c>
      <c r="S4">
        <v>0.60233049824162899</v>
      </c>
      <c r="T4">
        <v>0.65296110535130503</v>
      </c>
    </row>
    <row r="5" spans="1:29" x14ac:dyDescent="0.35">
      <c r="A5" s="1">
        <v>38991</v>
      </c>
      <c r="B5">
        <v>2.6371141158547502</v>
      </c>
      <c r="C5">
        <v>4.3373190238366996</v>
      </c>
      <c r="D5">
        <v>2.4614587194291802E-2</v>
      </c>
      <c r="E5">
        <v>0.25891733247999599</v>
      </c>
      <c r="F5">
        <v>0.33349220136452601</v>
      </c>
      <c r="G5" s="3">
        <v>3.3305088246288639</v>
      </c>
      <c r="H5" s="3">
        <v>7.2087983672881357</v>
      </c>
      <c r="I5" s="3">
        <f t="shared" si="0"/>
        <v>5.9676229404836141</v>
      </c>
    </row>
    <row r="6" spans="1:29" x14ac:dyDescent="0.35">
      <c r="A6" s="1">
        <v>39083</v>
      </c>
      <c r="B6">
        <v>2.6642863451118899</v>
      </c>
      <c r="C6">
        <v>4.2946793359112601</v>
      </c>
      <c r="D6">
        <v>7.74700009244359E-2</v>
      </c>
      <c r="E6">
        <v>0.92674919103455999</v>
      </c>
      <c r="F6">
        <v>2.0878397825911901E-2</v>
      </c>
      <c r="G6" s="3">
        <v>8.6940310936565837</v>
      </c>
      <c r="H6" s="3">
        <v>7.7639359920967754</v>
      </c>
      <c r="I6" s="3">
        <f t="shared" si="0"/>
        <v>11.358317438768474</v>
      </c>
    </row>
    <row r="7" spans="1:29" x14ac:dyDescent="0.35">
      <c r="A7" s="1">
        <v>39173</v>
      </c>
      <c r="B7">
        <v>2.67448190612809</v>
      </c>
      <c r="C7">
        <v>4.2359997608044404</v>
      </c>
      <c r="D7">
        <v>0.12301005965133301</v>
      </c>
      <c r="E7">
        <v>1.1287799230065001</v>
      </c>
      <c r="F7">
        <v>-0.35733320549805903</v>
      </c>
      <c r="G7" s="3">
        <v>8.7181134089241219</v>
      </c>
      <c r="H7" s="3">
        <v>8.4566970369491532</v>
      </c>
      <c r="I7" s="3">
        <f t="shared" si="0"/>
        <v>11.392595315052212</v>
      </c>
    </row>
    <row r="8" spans="1:29" x14ac:dyDescent="0.35">
      <c r="A8" s="1">
        <v>39264</v>
      </c>
      <c r="B8">
        <v>2.8752474363600999</v>
      </c>
      <c r="C8">
        <v>4.5744060662130597</v>
      </c>
      <c r="D8">
        <v>0.119943151338455</v>
      </c>
      <c r="E8">
        <v>1.4546659828210999</v>
      </c>
      <c r="F8">
        <v>0.23586057102585301</v>
      </c>
      <c r="G8" s="3">
        <v>3.5173659357056408</v>
      </c>
      <c r="H8" s="3">
        <v>9.1761128231147531</v>
      </c>
      <c r="I8" s="3">
        <f t="shared" si="0"/>
        <v>6.3926133720657408</v>
      </c>
      <c r="T8" s="2" t="s">
        <v>32</v>
      </c>
      <c r="U8" s="2"/>
    </row>
    <row r="9" spans="1:29" x14ac:dyDescent="0.35">
      <c r="A9" s="1">
        <v>39356</v>
      </c>
      <c r="B9">
        <v>2.98906910314009</v>
      </c>
      <c r="C9">
        <v>4.8158437908391196</v>
      </c>
      <c r="D9">
        <v>8.8339513150109503E-2</v>
      </c>
      <c r="E9">
        <v>1.22385462131706</v>
      </c>
      <c r="F9">
        <v>0.29967036418483101</v>
      </c>
      <c r="G9" s="3">
        <v>2.9846217966762678</v>
      </c>
      <c r="H9" s="3">
        <v>9.2672725260655735</v>
      </c>
      <c r="I9" s="3">
        <f t="shared" si="0"/>
        <v>5.9736908998163578</v>
      </c>
      <c r="T9" s="2" t="s">
        <v>33</v>
      </c>
      <c r="U9" s="2">
        <f>CORREL(B:B,G:G)</f>
        <v>0.46828160986235806</v>
      </c>
    </row>
    <row r="10" spans="1:29" x14ac:dyDescent="0.35">
      <c r="A10" s="1">
        <v>39448</v>
      </c>
      <c r="B10">
        <v>2.9258078942550001</v>
      </c>
      <c r="C10">
        <v>4.6401579725213598</v>
      </c>
      <c r="D10">
        <v>0.13089923074634</v>
      </c>
      <c r="E10">
        <v>0.67826513957788803</v>
      </c>
      <c r="F10">
        <v>0.588959496265133</v>
      </c>
      <c r="G10" s="3">
        <v>8.7587634179467919</v>
      </c>
      <c r="H10" s="3">
        <v>9.509483530333334</v>
      </c>
      <c r="I10" s="3">
        <f t="shared" si="0"/>
        <v>11.684571312201792</v>
      </c>
      <c r="T10" s="2" t="s">
        <v>34</v>
      </c>
      <c r="U10" s="2">
        <f>CORREL(B:B,H:H)</f>
        <v>0.67500265883917066</v>
      </c>
    </row>
    <row r="11" spans="1:29" x14ac:dyDescent="0.35">
      <c r="A11" s="1">
        <v>39539</v>
      </c>
      <c r="B11">
        <v>2.9235908012266898</v>
      </c>
      <c r="C11">
        <v>4.6296133820290697</v>
      </c>
      <c r="D11">
        <v>0.13503346616300499</v>
      </c>
      <c r="E11">
        <v>0.22939634516660601</v>
      </c>
      <c r="F11">
        <v>1.30472049345148</v>
      </c>
      <c r="G11" s="3">
        <v>6.4805553489586387</v>
      </c>
      <c r="H11" s="3">
        <v>9.6636379194999993</v>
      </c>
      <c r="I11" s="3">
        <f t="shared" si="0"/>
        <v>9.4041461501853281</v>
      </c>
      <c r="T11" s="2" t="s">
        <v>35</v>
      </c>
      <c r="U11" s="2">
        <f>CORREL(H:H,I:I)</f>
        <v>0.66109665656809979</v>
      </c>
    </row>
    <row r="12" spans="1:29" x14ac:dyDescent="0.35">
      <c r="A12" s="1">
        <v>39630</v>
      </c>
      <c r="B12">
        <v>2.9376734878170501</v>
      </c>
      <c r="C12">
        <v>4.7423586341328701</v>
      </c>
      <c r="D12">
        <v>8.1206248879316004E-2</v>
      </c>
      <c r="E12">
        <v>-0.388347596120866</v>
      </c>
      <c r="F12">
        <v>1.6150946702253599</v>
      </c>
      <c r="G12" s="3">
        <v>3.3260683598736569</v>
      </c>
      <c r="H12" s="3">
        <v>9.9402703889062494</v>
      </c>
      <c r="I12" s="3">
        <f t="shared" si="0"/>
        <v>6.2637418476907065</v>
      </c>
    </row>
    <row r="13" spans="1:29" x14ac:dyDescent="0.35">
      <c r="A13" s="1">
        <v>39722</v>
      </c>
      <c r="B13">
        <v>2.72101251826115</v>
      </c>
      <c r="C13">
        <v>4.5259913707185699</v>
      </c>
      <c r="D13">
        <v>-5.1301191010758003E-3</v>
      </c>
      <c r="E13">
        <v>-2.4819961951254799</v>
      </c>
      <c r="F13">
        <v>1.32308498570755</v>
      </c>
      <c r="G13" s="3">
        <v>4.3591355566794387</v>
      </c>
      <c r="H13" s="3">
        <v>9.7752281748333338</v>
      </c>
      <c r="I13" s="3">
        <f t="shared" si="0"/>
        <v>7.0801480749405883</v>
      </c>
    </row>
    <row r="14" spans="1:29" x14ac:dyDescent="0.35">
      <c r="A14" s="1">
        <v>39814</v>
      </c>
      <c r="B14">
        <v>2.63871645569052</v>
      </c>
      <c r="C14">
        <v>4.3281984225591401</v>
      </c>
      <c r="D14">
        <v>3.1710543341841001E-2</v>
      </c>
      <c r="E14">
        <v>-2.87240977282113</v>
      </c>
      <c r="F14">
        <v>0.57116758104420495</v>
      </c>
      <c r="G14" s="3">
        <v>7.2248197324674024</v>
      </c>
      <c r="H14" s="3">
        <v>8.5575287862295077</v>
      </c>
      <c r="I14" s="3">
        <f t="shared" si="0"/>
        <v>9.8635361881579229</v>
      </c>
    </row>
    <row r="15" spans="1:29" x14ac:dyDescent="0.35">
      <c r="A15" s="1">
        <v>39904</v>
      </c>
      <c r="B15">
        <v>2.56916942479118</v>
      </c>
      <c r="C15">
        <v>4.2557494410937702</v>
      </c>
      <c r="D15">
        <v>5.8017435456309699E-3</v>
      </c>
      <c r="E15">
        <v>-2.84398335420155</v>
      </c>
      <c r="F15">
        <v>-1.5158877129811299</v>
      </c>
      <c r="G15" s="3">
        <v>4.8591097885668946</v>
      </c>
      <c r="H15" s="3">
        <v>5.9955650712068964</v>
      </c>
      <c r="I15" s="3">
        <f t="shared" si="0"/>
        <v>7.4282792133580742</v>
      </c>
    </row>
    <row r="16" spans="1:29" x14ac:dyDescent="0.35">
      <c r="A16" s="1">
        <v>39995</v>
      </c>
      <c r="B16">
        <v>2.4018027942660298</v>
      </c>
      <c r="C16">
        <v>4.2018773888425196</v>
      </c>
      <c r="D16">
        <v>-0.12911610690571201</v>
      </c>
      <c r="E16">
        <v>-2.8576682895350101</v>
      </c>
      <c r="F16">
        <v>-2.70459882723733</v>
      </c>
      <c r="G16" s="3">
        <v>2.1555893341714372</v>
      </c>
      <c r="H16" s="3">
        <v>4.3468675699999997</v>
      </c>
      <c r="I16" s="3">
        <f t="shared" si="0"/>
        <v>4.557392128437467</v>
      </c>
    </row>
    <row r="17" spans="1:18" x14ac:dyDescent="0.35">
      <c r="A17" s="1">
        <v>40087</v>
      </c>
      <c r="B17">
        <v>2.1420769503159001</v>
      </c>
      <c r="C17">
        <v>4.0969570037902203</v>
      </c>
      <c r="D17">
        <v>-0.325645203051597</v>
      </c>
      <c r="E17">
        <v>-2.7560146242803998</v>
      </c>
      <c r="F17">
        <v>-2.2567788093330101</v>
      </c>
      <c r="G17" s="3">
        <v>1.0276641828627091</v>
      </c>
      <c r="H17" s="3">
        <v>3.7020939005</v>
      </c>
      <c r="I17" s="3">
        <f t="shared" si="0"/>
        <v>3.1697411331786092</v>
      </c>
    </row>
    <row r="18" spans="1:18" x14ac:dyDescent="0.35">
      <c r="A18" s="1">
        <v>40179</v>
      </c>
      <c r="B18">
        <v>1.9975413547904299</v>
      </c>
      <c r="C18">
        <v>3.7945538540306001</v>
      </c>
      <c r="D18">
        <v>-0.28803415871251697</v>
      </c>
      <c r="E18">
        <v>-1.98888541078804</v>
      </c>
      <c r="F18">
        <v>-1.9810431300042299</v>
      </c>
      <c r="G18" s="3">
        <v>5.2883655467295787</v>
      </c>
      <c r="H18" s="3">
        <v>3.3491804378688519</v>
      </c>
      <c r="I18" s="3">
        <f t="shared" si="0"/>
        <v>7.2859069015200086</v>
      </c>
    </row>
    <row r="19" spans="1:18" x14ac:dyDescent="0.35">
      <c r="A19" s="1">
        <v>40269</v>
      </c>
      <c r="B19">
        <v>1.8850261855082</v>
      </c>
      <c r="C19">
        <v>3.69386069788264</v>
      </c>
      <c r="D19">
        <v>-0.33989876908262301</v>
      </c>
      <c r="E19">
        <v>-1.1917325296835799</v>
      </c>
      <c r="F19">
        <v>-1.5164897874644201</v>
      </c>
      <c r="G19" s="3">
        <v>2.7797269020611641</v>
      </c>
      <c r="H19" s="3">
        <v>3.1813728895</v>
      </c>
      <c r="I19" s="3">
        <f t="shared" si="0"/>
        <v>4.6647530875693644</v>
      </c>
    </row>
    <row r="20" spans="1:18" x14ac:dyDescent="0.35">
      <c r="A20" s="1">
        <v>40360</v>
      </c>
      <c r="B20">
        <v>1.71262045775181</v>
      </c>
      <c r="C20">
        <v>3.5981314853577802</v>
      </c>
      <c r="D20">
        <v>-0.45464387256263999</v>
      </c>
      <c r="E20">
        <v>-1.17580928985149</v>
      </c>
      <c r="F20">
        <v>-1.2817926133537201</v>
      </c>
      <c r="G20" s="3">
        <v>1.328702246627222</v>
      </c>
      <c r="H20" s="3">
        <v>3.0369425639682541</v>
      </c>
      <c r="I20" s="3">
        <f t="shared" si="0"/>
        <v>3.0413227043790321</v>
      </c>
      <c r="J20" t="s">
        <v>22</v>
      </c>
      <c r="N20" t="s">
        <v>23</v>
      </c>
    </row>
    <row r="21" spans="1:18" x14ac:dyDescent="0.35">
      <c r="A21" s="1">
        <v>40452</v>
      </c>
      <c r="B21">
        <v>1.6983648813109899</v>
      </c>
      <c r="C21">
        <v>3.67451618026963</v>
      </c>
      <c r="D21">
        <v>-0.51490828034773894</v>
      </c>
      <c r="E21">
        <v>-9.0540198211783704E-2</v>
      </c>
      <c r="F21">
        <v>-1.3099099808480299</v>
      </c>
      <c r="G21" s="3">
        <v>1.1525196340635311</v>
      </c>
      <c r="H21" s="3">
        <v>3.025783482833333</v>
      </c>
      <c r="I21" s="3">
        <f t="shared" si="0"/>
        <v>2.850884515374521</v>
      </c>
      <c r="J21" t="s">
        <v>24</v>
      </c>
      <c r="K21">
        <v>0.16337974105705599</v>
      </c>
      <c r="N21">
        <v>-328.82613792291301</v>
      </c>
    </row>
    <row r="22" spans="1:18" x14ac:dyDescent="0.35">
      <c r="A22" s="1">
        <v>40544</v>
      </c>
      <c r="B22">
        <v>1.8667870689432799</v>
      </c>
      <c r="C22">
        <v>3.6198381192181599</v>
      </c>
      <c r="D22">
        <v>-0.31355182895942901</v>
      </c>
      <c r="E22">
        <v>1.3346825599260199</v>
      </c>
      <c r="F22">
        <v>-1.3971603175551499</v>
      </c>
      <c r="G22" s="3">
        <v>5.4691601542762092</v>
      </c>
      <c r="H22" s="3">
        <v>3.1521539856451608</v>
      </c>
      <c r="I22" s="3">
        <f t="shared" si="0"/>
        <v>7.3359472232194891</v>
      </c>
      <c r="J22" t="s">
        <v>25</v>
      </c>
      <c r="K22">
        <v>6.6751267539846504E-2</v>
      </c>
    </row>
    <row r="23" spans="1:18" x14ac:dyDescent="0.35">
      <c r="A23" s="1">
        <v>40634</v>
      </c>
      <c r="B23">
        <v>1.8693183190904099</v>
      </c>
      <c r="C23">
        <v>3.6724263175897902</v>
      </c>
      <c r="D23">
        <v>-0.342696054539114</v>
      </c>
      <c r="E23">
        <v>1.67535505512615</v>
      </c>
      <c r="F23">
        <v>-0.63971314320428396</v>
      </c>
      <c r="G23" s="3">
        <v>2.4932237473901608</v>
      </c>
      <c r="H23" s="3">
        <v>3.8405066214754102</v>
      </c>
      <c r="I23" s="3">
        <f t="shared" si="0"/>
        <v>4.3625420664805707</v>
      </c>
    </row>
    <row r="24" spans="1:18" x14ac:dyDescent="0.35">
      <c r="A24" s="1">
        <v>40725</v>
      </c>
      <c r="B24">
        <v>1.9590412623265101</v>
      </c>
      <c r="C24">
        <v>3.8072590187095701</v>
      </c>
      <c r="D24">
        <v>-0.33418695934775899</v>
      </c>
      <c r="E24">
        <v>2.36652297689534</v>
      </c>
      <c r="F24">
        <v>-0.36380102857996699</v>
      </c>
      <c r="G24" s="3">
        <v>2.4662303483315551</v>
      </c>
      <c r="H24" s="3">
        <v>4.4905237047619053</v>
      </c>
      <c r="I24" s="3">
        <f t="shared" si="0"/>
        <v>4.425271610658065</v>
      </c>
    </row>
    <row r="25" spans="1:18" x14ac:dyDescent="0.35">
      <c r="A25" s="1">
        <v>40817</v>
      </c>
      <c r="B25">
        <v>1.98736888038094</v>
      </c>
      <c r="C25">
        <v>3.8509588107866599</v>
      </c>
      <c r="D25">
        <v>-0.332181058828176</v>
      </c>
      <c r="E25">
        <v>2.0571830992719198</v>
      </c>
      <c r="F25">
        <v>-0.70301355905149399</v>
      </c>
      <c r="G25" s="3">
        <v>3.1165965480741238</v>
      </c>
      <c r="H25" s="3">
        <v>4.6706580208474584</v>
      </c>
      <c r="I25" s="3">
        <f t="shared" si="0"/>
        <v>5.103965428455064</v>
      </c>
      <c r="J25" t="s">
        <v>26</v>
      </c>
    </row>
    <row r="26" spans="1:18" x14ac:dyDescent="0.35">
      <c r="A26" s="1">
        <v>40909</v>
      </c>
      <c r="B26">
        <v>2.2143654232990699</v>
      </c>
      <c r="C26">
        <v>3.8704791881008198</v>
      </c>
      <c r="D26">
        <v>-0.11694223450355699</v>
      </c>
      <c r="E26">
        <v>2.7483781850335198</v>
      </c>
      <c r="F26">
        <v>-0.73376569341346998</v>
      </c>
      <c r="G26" s="3">
        <v>6.0910310030109827</v>
      </c>
      <c r="H26" s="3">
        <v>5.0223701415873014</v>
      </c>
      <c r="I26" s="3">
        <f t="shared" si="0"/>
        <v>8.3053964263100521</v>
      </c>
      <c r="J26" t="s">
        <v>27</v>
      </c>
    </row>
    <row r="27" spans="1:18" x14ac:dyDescent="0.35">
      <c r="A27" s="1">
        <v>41000</v>
      </c>
      <c r="B27">
        <v>2.1089589780064899</v>
      </c>
      <c r="C27">
        <v>3.9338058557005899</v>
      </c>
      <c r="D27">
        <v>-0.260492263043478</v>
      </c>
      <c r="E27">
        <v>1.8649304035464001</v>
      </c>
      <c r="F27">
        <v>-0.34275218027613802</v>
      </c>
      <c r="G27" s="3">
        <v>2.3510901876280239</v>
      </c>
      <c r="H27" s="3">
        <v>5.2724438194915253</v>
      </c>
      <c r="I27" s="3">
        <f t="shared" si="0"/>
        <v>4.4600491656345138</v>
      </c>
      <c r="J27">
        <v>1181.0629236843199</v>
      </c>
      <c r="K27">
        <v>1180.00189187042</v>
      </c>
      <c r="L27">
        <v>1178.9406082033699</v>
      </c>
      <c r="M27">
        <v>1.06103181390438</v>
      </c>
      <c r="N27">
        <v>1.06128366704876</v>
      </c>
      <c r="O27">
        <v>1.0613782551987001</v>
      </c>
      <c r="P27">
        <v>0</v>
      </c>
      <c r="Q27">
        <v>0</v>
      </c>
      <c r="R27">
        <v>0</v>
      </c>
    </row>
    <row r="28" spans="1:18" x14ac:dyDescent="0.35">
      <c r="A28" s="1">
        <v>41091</v>
      </c>
      <c r="B28">
        <v>1.8901244447687</v>
      </c>
      <c r="C28">
        <v>3.8955660684726099</v>
      </c>
      <c r="D28">
        <v>-0.45629380618758802</v>
      </c>
      <c r="E28">
        <v>0.31625234802663699</v>
      </c>
      <c r="F28">
        <v>-0.13785231370527401</v>
      </c>
      <c r="G28" s="3">
        <v>1.7810933173610271</v>
      </c>
      <c r="H28" s="3">
        <v>5.0872248950819676</v>
      </c>
      <c r="I28" s="3">
        <f t="shared" si="0"/>
        <v>3.6712177621297268</v>
      </c>
    </row>
    <row r="29" spans="1:18" x14ac:dyDescent="0.35">
      <c r="A29" s="1">
        <v>41183</v>
      </c>
      <c r="B29">
        <v>1.8061278725669501</v>
      </c>
      <c r="C29">
        <v>3.9915889282547599</v>
      </c>
      <c r="D29">
        <v>-0.59812787536450995</v>
      </c>
      <c r="E29">
        <v>0.17895273486806201</v>
      </c>
      <c r="F29">
        <v>-7.8957711269289202E-2</v>
      </c>
      <c r="G29" s="3">
        <v>1.507599640142665</v>
      </c>
      <c r="H29" s="3">
        <v>4.6598736983333326</v>
      </c>
      <c r="I29" s="3">
        <f t="shared" si="0"/>
        <v>3.3137275127096153</v>
      </c>
      <c r="J29" t="s">
        <v>28</v>
      </c>
    </row>
    <row r="30" spans="1:18" x14ac:dyDescent="0.35">
      <c r="A30" s="1">
        <v>41275</v>
      </c>
      <c r="B30">
        <v>1.8972443951093001</v>
      </c>
      <c r="C30">
        <v>3.9854111814354898</v>
      </c>
      <c r="D30">
        <v>-0.50329030750249404</v>
      </c>
      <c r="E30">
        <v>0.53214810878921504</v>
      </c>
      <c r="F30">
        <v>-0.30597726735788999</v>
      </c>
      <c r="G30" s="3">
        <v>3.8421039601338252</v>
      </c>
      <c r="H30" s="3">
        <v>3.9617389040677971</v>
      </c>
      <c r="I30" s="3">
        <f t="shared" si="0"/>
        <v>5.7393483552431253</v>
      </c>
      <c r="J30">
        <v>0.60214887827428998</v>
      </c>
      <c r="K30">
        <v>0.2</v>
      </c>
      <c r="L30">
        <v>0</v>
      </c>
      <c r="M30">
        <v>0.2</v>
      </c>
      <c r="N30">
        <v>0.2</v>
      </c>
      <c r="O30">
        <v>0</v>
      </c>
      <c r="P30">
        <v>0</v>
      </c>
      <c r="Q30">
        <v>0</v>
      </c>
      <c r="R30">
        <v>0</v>
      </c>
    </row>
    <row r="31" spans="1:18" x14ac:dyDescent="0.35">
      <c r="A31" s="1">
        <v>41365</v>
      </c>
      <c r="B31">
        <v>2.1580153819975201</v>
      </c>
      <c r="C31">
        <v>4.1965352177336399</v>
      </c>
      <c r="D31">
        <v>-0.36968576658852098</v>
      </c>
      <c r="E31">
        <v>2.26697187983837</v>
      </c>
      <c r="F31">
        <v>-1.56631840646363</v>
      </c>
      <c r="G31" s="3">
        <v>3.1890965703908591</v>
      </c>
      <c r="H31" s="3">
        <v>3.1716703475409829</v>
      </c>
      <c r="I31" s="3">
        <f t="shared" si="0"/>
        <v>5.3471119523883797</v>
      </c>
      <c r="J31">
        <v>0.2</v>
      </c>
      <c r="K31">
        <v>0.2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s="1">
        <v>41456</v>
      </c>
      <c r="B32">
        <v>2.00965362108108</v>
      </c>
      <c r="C32">
        <v>4.1936338251152598</v>
      </c>
      <c r="D32">
        <v>-0.51629993024354304</v>
      </c>
      <c r="E32">
        <v>1.3332763194352999</v>
      </c>
      <c r="F32">
        <v>-1.2949807812804399</v>
      </c>
      <c r="G32" s="3">
        <v>1.6047169317173979</v>
      </c>
      <c r="H32" s="3">
        <v>3.2505521153968249</v>
      </c>
      <c r="I32" s="3">
        <f t="shared" si="0"/>
        <v>3.6143705527984782</v>
      </c>
      <c r="J32">
        <v>0</v>
      </c>
      <c r="K32">
        <v>0</v>
      </c>
      <c r="L32">
        <v>0.2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s="1">
        <v>41548</v>
      </c>
      <c r="B33">
        <v>1.9157483112776399</v>
      </c>
      <c r="C33">
        <v>4.2710682597384402</v>
      </c>
      <c r="D33">
        <v>-0.65684636163461496</v>
      </c>
      <c r="E33">
        <v>1.3559146561165101</v>
      </c>
      <c r="F33">
        <v>-1.1055432515387</v>
      </c>
      <c r="G33" s="3">
        <v>1.1570303621354581</v>
      </c>
      <c r="H33" s="3">
        <v>3.2584420158333329</v>
      </c>
      <c r="I33" s="3">
        <f t="shared" si="0"/>
        <v>3.0727786734130982</v>
      </c>
      <c r="J33">
        <v>0.2</v>
      </c>
      <c r="K33">
        <v>0</v>
      </c>
      <c r="L33">
        <v>0</v>
      </c>
      <c r="M33">
        <v>0.20539594783596099</v>
      </c>
      <c r="N33">
        <v>0.2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s="1">
        <v>41640</v>
      </c>
      <c r="B34">
        <v>2.0668341976619602</v>
      </c>
      <c r="C34">
        <v>4.2524209860574196</v>
      </c>
      <c r="D34">
        <v>-0.49452865360317</v>
      </c>
      <c r="E34">
        <v>1.980577446589</v>
      </c>
      <c r="F34">
        <v>-1.3657358097872301</v>
      </c>
      <c r="G34" s="3">
        <v>4.1138290931098442</v>
      </c>
      <c r="H34" s="3">
        <v>3.2172666272131152</v>
      </c>
      <c r="I34" s="3">
        <f t="shared" si="0"/>
        <v>6.180663290771804</v>
      </c>
      <c r="J34">
        <v>0.2</v>
      </c>
      <c r="K34">
        <v>0</v>
      </c>
      <c r="L34">
        <v>0</v>
      </c>
      <c r="M34">
        <v>0.2</v>
      </c>
      <c r="N34">
        <v>0.2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s="1">
        <v>41730</v>
      </c>
      <c r="B35">
        <v>2.0675178354973398</v>
      </c>
      <c r="C35">
        <v>4.1427475402658898</v>
      </c>
      <c r="D35">
        <v>-0.42778535452029198</v>
      </c>
      <c r="E35">
        <v>1.5288400308857</v>
      </c>
      <c r="F35">
        <v>-1.25626795343369</v>
      </c>
      <c r="G35" s="3">
        <v>3.8543754237657661</v>
      </c>
      <c r="H35" s="3">
        <v>3.493737834745763</v>
      </c>
      <c r="I35" s="3">
        <f t="shared" si="0"/>
        <v>5.9218932592631059</v>
      </c>
      <c r="J35">
        <v>0</v>
      </c>
      <c r="K35">
        <v>0</v>
      </c>
      <c r="L35">
        <v>0</v>
      </c>
      <c r="M35">
        <v>0</v>
      </c>
      <c r="N35">
        <v>0</v>
      </c>
      <c r="O35">
        <v>0.2</v>
      </c>
      <c r="P35">
        <v>0</v>
      </c>
      <c r="Q35">
        <v>0</v>
      </c>
      <c r="R35">
        <v>0</v>
      </c>
    </row>
    <row r="36" spans="1:18" x14ac:dyDescent="0.35">
      <c r="A36" s="1">
        <v>41821</v>
      </c>
      <c r="B36">
        <v>1.9879784753410501</v>
      </c>
      <c r="C36">
        <v>4.1613467128208104</v>
      </c>
      <c r="D36">
        <v>-0.51852756354847496</v>
      </c>
      <c r="E36">
        <v>1.3448964858416701</v>
      </c>
      <c r="F36">
        <v>-0.65584194781003002</v>
      </c>
      <c r="G36" s="3">
        <v>2.1642180596148641</v>
      </c>
      <c r="H36" s="3">
        <v>4.1544997621875002</v>
      </c>
      <c r="I36" s="3">
        <f t="shared" si="0"/>
        <v>4.1521965349559142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0.324794682603465</v>
      </c>
      <c r="Q36">
        <v>0.2</v>
      </c>
      <c r="R36">
        <v>0</v>
      </c>
    </row>
    <row r="37" spans="1:18" x14ac:dyDescent="0.35">
      <c r="A37" s="1">
        <v>41913</v>
      </c>
      <c r="B37">
        <v>1.9259878622139801</v>
      </c>
      <c r="C37">
        <v>4.19230516984413</v>
      </c>
      <c r="D37">
        <v>-0.59916539951918901</v>
      </c>
      <c r="E37">
        <v>1.1616013155392</v>
      </c>
      <c r="F37">
        <v>-0.51150026681585403</v>
      </c>
      <c r="G37" s="3">
        <v>2.2243997964932931</v>
      </c>
      <c r="H37" s="3">
        <v>4.5036931886440676</v>
      </c>
      <c r="I37" s="3">
        <f t="shared" si="0"/>
        <v>4.150387658707273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0.2</v>
      </c>
      <c r="Q37">
        <v>0.2</v>
      </c>
      <c r="R37">
        <v>0</v>
      </c>
    </row>
    <row r="38" spans="1:18" x14ac:dyDescent="0.35">
      <c r="A38" s="1">
        <v>42005</v>
      </c>
      <c r="B38">
        <v>2.09750249294488</v>
      </c>
      <c r="C38">
        <v>4.0854897296954</v>
      </c>
      <c r="D38">
        <v>-0.36331257150361101</v>
      </c>
      <c r="E38">
        <v>1.3127169109161501</v>
      </c>
      <c r="F38">
        <v>-1.01849000090168</v>
      </c>
      <c r="G38" s="3">
        <v>5.5004383263794976</v>
      </c>
      <c r="H38" s="3">
        <v>4.5148703936065573</v>
      </c>
      <c r="I38" s="3">
        <f t="shared" si="0"/>
        <v>7.5979408193243776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</v>
      </c>
    </row>
    <row r="39" spans="1:18" x14ac:dyDescent="0.35">
      <c r="A39" s="1">
        <v>42095</v>
      </c>
      <c r="B39">
        <v>2.2405654240539499</v>
      </c>
      <c r="C39">
        <v>3.9964858582192702</v>
      </c>
      <c r="D39">
        <v>-0.16663989414288799</v>
      </c>
      <c r="E39">
        <v>1.48974793209391</v>
      </c>
      <c r="F39">
        <v>-1.6056219863699399</v>
      </c>
      <c r="G39" s="3">
        <v>5.6490402571211629</v>
      </c>
      <c r="H39" s="3">
        <v>4.5194675475862063</v>
      </c>
      <c r="I39" s="3">
        <f t="shared" si="0"/>
        <v>7.8896056811751123</v>
      </c>
    </row>
    <row r="40" spans="1:18" x14ac:dyDescent="0.35">
      <c r="A40" s="1">
        <v>42186</v>
      </c>
      <c r="B40">
        <v>2.17092059186009</v>
      </c>
      <c r="C40">
        <v>4.0069228298403301</v>
      </c>
      <c r="D40">
        <v>-0.242571232653397</v>
      </c>
      <c r="E40">
        <v>1.3795730168151299</v>
      </c>
      <c r="F40">
        <v>-1.87094299002543</v>
      </c>
      <c r="G40" s="3">
        <v>3.5956270260007579</v>
      </c>
      <c r="H40" s="3">
        <v>4.5423539533333326</v>
      </c>
      <c r="I40" s="3">
        <f t="shared" si="0"/>
        <v>5.7665476178608479</v>
      </c>
    </row>
    <row r="41" spans="1:18" x14ac:dyDescent="0.35">
      <c r="A41" s="1">
        <v>42278</v>
      </c>
      <c r="B41">
        <v>2.1728559513104302</v>
      </c>
      <c r="C41">
        <v>3.7847830951362602</v>
      </c>
      <c r="D41">
        <v>-0.10683433611948499</v>
      </c>
      <c r="E41">
        <v>0.89709309869294895</v>
      </c>
      <c r="F41">
        <v>-2.2044357801113001</v>
      </c>
      <c r="G41" s="3">
        <v>6.12289990163426</v>
      </c>
      <c r="H41" s="3">
        <v>5.1854215489830509</v>
      </c>
      <c r="I41" s="3">
        <f t="shared" si="0"/>
        <v>8.2957558529446906</v>
      </c>
    </row>
    <row r="42" spans="1:18" x14ac:dyDescent="0.35">
      <c r="A42" s="1">
        <v>42370</v>
      </c>
      <c r="B42">
        <v>2.5577455108573601</v>
      </c>
      <c r="C42">
        <v>3.5603210371516099</v>
      </c>
      <c r="D42">
        <v>0.413255566649675</v>
      </c>
      <c r="E42">
        <v>2.1638358285808899</v>
      </c>
      <c r="F42">
        <v>-2.8634543729398598</v>
      </c>
      <c r="G42" s="3">
        <v>10.127523048240519</v>
      </c>
      <c r="H42" s="3">
        <v>6.0680636961666661</v>
      </c>
      <c r="I42" s="3">
        <f t="shared" si="0"/>
        <v>12.68526855909788</v>
      </c>
    </row>
    <row r="43" spans="1:18" x14ac:dyDescent="0.35">
      <c r="A43" s="1">
        <v>42461</v>
      </c>
      <c r="B43">
        <v>2.5024761637440101</v>
      </c>
      <c r="C43">
        <v>3.4590717362959902</v>
      </c>
      <c r="D43">
        <v>0.41897176136731401</v>
      </c>
      <c r="E43">
        <v>2.0959019716390199</v>
      </c>
      <c r="F43">
        <v>-2.3328285131955302</v>
      </c>
      <c r="G43" s="3">
        <v>7.2856167812853636</v>
      </c>
      <c r="H43" s="3">
        <v>6.9525643398387098</v>
      </c>
      <c r="I43" s="3">
        <f t="shared" si="0"/>
        <v>9.7880929450293728</v>
      </c>
    </row>
    <row r="44" spans="1:18" x14ac:dyDescent="0.35">
      <c r="A44" s="1">
        <v>42552</v>
      </c>
      <c r="B44">
        <v>2.1348875369196398</v>
      </c>
      <c r="C44">
        <v>3.4467029076496201</v>
      </c>
      <c r="D44">
        <v>5.8833257264171802E-2</v>
      </c>
      <c r="E44">
        <v>1.1456317521035499</v>
      </c>
      <c r="F44">
        <v>-1.45054100379995</v>
      </c>
      <c r="G44" s="3">
        <v>4.4300892525515723</v>
      </c>
      <c r="H44" s="3">
        <v>7.6758787790476184</v>
      </c>
      <c r="I44" s="3">
        <f t="shared" si="0"/>
        <v>6.5649767894712117</v>
      </c>
    </row>
    <row r="45" spans="1:18" x14ac:dyDescent="0.35">
      <c r="A45" s="1">
        <v>42644</v>
      </c>
      <c r="B45">
        <v>1.6989608413838599</v>
      </c>
      <c r="C45">
        <v>3.5064342022116501</v>
      </c>
      <c r="D45">
        <v>-0.41307141868576802</v>
      </c>
      <c r="E45">
        <v>0.15070697197529601</v>
      </c>
      <c r="F45">
        <v>-0.25849716407626899</v>
      </c>
      <c r="G45" s="3">
        <v>3.2798897876752391</v>
      </c>
      <c r="H45" s="3">
        <v>7.7212433947457626</v>
      </c>
      <c r="I45" s="3">
        <f t="shared" si="0"/>
        <v>4.9788506290590995</v>
      </c>
    </row>
    <row r="46" spans="1:18" x14ac:dyDescent="0.35">
      <c r="A46" s="1">
        <v>42736</v>
      </c>
      <c r="B46">
        <v>1.8233123898107599</v>
      </c>
      <c r="C46">
        <v>3.3095753529121401</v>
      </c>
      <c r="D46">
        <v>-0.170145781477028</v>
      </c>
      <c r="E46">
        <v>0.118992046569474</v>
      </c>
      <c r="F46">
        <v>-0.29995388376558202</v>
      </c>
      <c r="G46" s="3">
        <v>8.4654834089102913</v>
      </c>
      <c r="H46" s="3">
        <v>7.3886283136507931</v>
      </c>
      <c r="I46" s="3">
        <f t="shared" si="0"/>
        <v>10.288795798721051</v>
      </c>
    </row>
    <row r="47" spans="1:18" x14ac:dyDescent="0.35">
      <c r="A47" s="1">
        <v>42826</v>
      </c>
      <c r="B47">
        <v>1.7450479851638501</v>
      </c>
      <c r="C47">
        <v>3.26735728220374</v>
      </c>
      <c r="D47">
        <v>-0.222980954559339</v>
      </c>
      <c r="E47">
        <v>-0.20671601183244101</v>
      </c>
      <c r="F47">
        <v>-0.66835244657687698</v>
      </c>
      <c r="G47" s="3">
        <v>5.7712008304133144</v>
      </c>
      <c r="H47" s="3">
        <v>6.5633613584745758</v>
      </c>
      <c r="I47" s="3">
        <f t="shared" si="0"/>
        <v>7.5162488155771641</v>
      </c>
    </row>
    <row r="48" spans="1:18" x14ac:dyDescent="0.35">
      <c r="A48" s="1">
        <v>42917</v>
      </c>
      <c r="B48">
        <v>1.26590914079062</v>
      </c>
      <c r="C48">
        <v>3.3696716680174301</v>
      </c>
      <c r="D48">
        <v>-0.76374687391701801</v>
      </c>
      <c r="E48">
        <v>-1.27528168341837</v>
      </c>
      <c r="F48">
        <v>-0.45158204408757002</v>
      </c>
      <c r="G48" s="3">
        <v>1.226694122582406</v>
      </c>
      <c r="H48" s="3">
        <v>5.5001441340983606</v>
      </c>
      <c r="I48" s="3">
        <f t="shared" si="0"/>
        <v>2.492603263373026</v>
      </c>
    </row>
    <row r="49" spans="1:9" x14ac:dyDescent="0.35">
      <c r="A49" s="1">
        <v>43009</v>
      </c>
      <c r="B49">
        <v>0.90469843555666496</v>
      </c>
      <c r="C49">
        <v>3.3329120011645799</v>
      </c>
      <c r="D49">
        <v>-1.1028161107003001</v>
      </c>
      <c r="E49">
        <v>-2.1153873352534398</v>
      </c>
      <c r="F49">
        <v>-0.238453049296974</v>
      </c>
      <c r="G49" s="3">
        <v>1.890066769606946</v>
      </c>
      <c r="H49" s="3">
        <v>5.0046066691379307</v>
      </c>
      <c r="I49" s="3">
        <f t="shared" si="0"/>
        <v>2.7947652051636109</v>
      </c>
    </row>
    <row r="50" spans="1:9" x14ac:dyDescent="0.35">
      <c r="A50" s="1">
        <v>43101</v>
      </c>
      <c r="B50">
        <v>0.98771859226985204</v>
      </c>
      <c r="C50">
        <v>3.1363537404085702</v>
      </c>
      <c r="D50">
        <v>-0.90140291885243395</v>
      </c>
      <c r="E50">
        <v>-1.74799147622639</v>
      </c>
      <c r="F50">
        <v>-9.1471926775318804E-2</v>
      </c>
      <c r="G50" s="3">
        <v>5.8146926174192037</v>
      </c>
      <c r="H50" s="3">
        <v>4.5719102505000002</v>
      </c>
      <c r="I50" s="3">
        <f t="shared" si="0"/>
        <v>6.8024112096890557</v>
      </c>
    </row>
    <row r="51" spans="1:9" x14ac:dyDescent="0.35">
      <c r="A51" s="1">
        <v>43191</v>
      </c>
      <c r="B51">
        <v>1.04612469808788</v>
      </c>
      <c r="C51">
        <v>3.1116597590425599</v>
      </c>
      <c r="D51">
        <v>-0.82812287493465497</v>
      </c>
      <c r="E51">
        <v>-0.93314997352172202</v>
      </c>
      <c r="F51">
        <v>2.62970879495361E-3</v>
      </c>
      <c r="G51" s="3">
        <v>4.1158658720404473</v>
      </c>
      <c r="H51" s="3">
        <v>4.3105842522950821</v>
      </c>
      <c r="I51" s="3">
        <f t="shared" si="0"/>
        <v>5.1619905701283271</v>
      </c>
    </row>
    <row r="52" spans="1:9" x14ac:dyDescent="0.35">
      <c r="A52" s="1">
        <v>43282</v>
      </c>
      <c r="B52">
        <v>0.81826188560676005</v>
      </c>
      <c r="C52">
        <v>3.1465846747387198</v>
      </c>
      <c r="D52">
        <v>-1.0770220292880901</v>
      </c>
      <c r="E52">
        <v>-1.2443915052724599</v>
      </c>
      <c r="F52">
        <v>0.15631997449680299</v>
      </c>
      <c r="G52" s="3">
        <v>1.303950458551939</v>
      </c>
      <c r="H52" s="3">
        <v>4.2557257895081966</v>
      </c>
      <c r="I52" s="3">
        <f t="shared" si="0"/>
        <v>2.1222123441586991</v>
      </c>
    </row>
    <row r="53" spans="1:9" x14ac:dyDescent="0.35">
      <c r="A53" s="1">
        <v>43374</v>
      </c>
      <c r="B53">
        <v>0.59209892420875398</v>
      </c>
      <c r="C53">
        <v>3.0863087583351101</v>
      </c>
      <c r="D53">
        <v>-1.26687896792674</v>
      </c>
      <c r="E53">
        <v>-1.9219604674619899</v>
      </c>
      <c r="F53">
        <v>0.40945511902293202</v>
      </c>
      <c r="G53" s="3">
        <v>1.774788697728336</v>
      </c>
      <c r="H53" s="3">
        <v>4.2538784546666664</v>
      </c>
      <c r="I53" s="3">
        <f t="shared" si="0"/>
        <v>2.36688762193709</v>
      </c>
    </row>
    <row r="54" spans="1:9" x14ac:dyDescent="0.35">
      <c r="A54" s="1">
        <v>43466</v>
      </c>
      <c r="B54">
        <v>0.86708376004587795</v>
      </c>
      <c r="C54">
        <v>2.9758418336972201</v>
      </c>
      <c r="D54">
        <v>-0.92535653433324805</v>
      </c>
      <c r="E54">
        <v>-0.89890703639298397</v>
      </c>
      <c r="F54">
        <v>0.207663986522682</v>
      </c>
      <c r="G54" s="3">
        <v>5.5287298942575003</v>
      </c>
      <c r="H54" s="3">
        <v>4.2555814772131146</v>
      </c>
      <c r="I54" s="3">
        <f t="shared" si="0"/>
        <v>6.3958136543033781</v>
      </c>
    </row>
    <row r="55" spans="1:9" x14ac:dyDescent="0.35">
      <c r="A55" s="1">
        <v>43556</v>
      </c>
      <c r="B55">
        <v>1.03350090910479</v>
      </c>
      <c r="C55">
        <v>2.9229510678255899</v>
      </c>
      <c r="D55">
        <v>-0.72708166391449502</v>
      </c>
      <c r="E55">
        <v>-0.28837578584784801</v>
      </c>
      <c r="F55">
        <v>-0.100301242842294</v>
      </c>
      <c r="G55" s="3">
        <v>4.7022907750788878</v>
      </c>
      <c r="H55" s="3">
        <v>4.260639622666667</v>
      </c>
      <c r="I55" s="3">
        <f t="shared" si="0"/>
        <v>5.7357916841836776</v>
      </c>
    </row>
    <row r="56" spans="1:9" x14ac:dyDescent="0.35">
      <c r="A56" s="1">
        <v>43647</v>
      </c>
      <c r="B56">
        <v>0.91369792042728704</v>
      </c>
      <c r="C56">
        <v>2.9783153980774899</v>
      </c>
      <c r="D56">
        <v>-0.88023227721743902</v>
      </c>
      <c r="E56">
        <v>-0.37743446898275601</v>
      </c>
      <c r="F56">
        <v>-0.192453370160375</v>
      </c>
      <c r="G56" s="3">
        <v>2.1619180585342961</v>
      </c>
      <c r="H56" s="3">
        <v>4.2631764066666671</v>
      </c>
      <c r="I56" s="3">
        <f t="shared" si="0"/>
        <v>3.0756159789615829</v>
      </c>
    </row>
    <row r="57" spans="1:9" x14ac:dyDescent="0.35">
      <c r="A57" s="1">
        <v>43739</v>
      </c>
      <c r="B57">
        <v>0.70876601696000596</v>
      </c>
      <c r="C57">
        <v>2.8949828664291601</v>
      </c>
      <c r="D57">
        <v>-1.0349704553772501</v>
      </c>
      <c r="E57">
        <v>-1.2304534818445101</v>
      </c>
      <c r="F57">
        <v>-0.18661655818725101</v>
      </c>
      <c r="G57" s="3">
        <v>2.549796689704964</v>
      </c>
      <c r="H57" s="3">
        <v>4.2578333131666666</v>
      </c>
      <c r="I57" s="3">
        <f t="shared" si="0"/>
        <v>3.2585627066649701</v>
      </c>
    </row>
    <row r="58" spans="1:9" x14ac:dyDescent="0.35">
      <c r="A58" s="1">
        <v>43831</v>
      </c>
      <c r="B58">
        <v>0.63536878365266503</v>
      </c>
      <c r="C58">
        <v>2.5782886858978098</v>
      </c>
      <c r="D58">
        <v>-0.917613125134916</v>
      </c>
      <c r="E58">
        <v>-2.2293872718446401</v>
      </c>
      <c r="F58">
        <v>-4.0695698487403002E-2</v>
      </c>
      <c r="G58" s="3">
        <v>5.1009266998917724</v>
      </c>
      <c r="H58" s="3">
        <v>4.2234061409677421</v>
      </c>
      <c r="I58" s="3">
        <f t="shared" si="0"/>
        <v>5.7362954835444375</v>
      </c>
    </row>
    <row r="59" spans="1:9" x14ac:dyDescent="0.35">
      <c r="A59" s="1">
        <v>43922</v>
      </c>
      <c r="B59">
        <v>-1.55707011354172</v>
      </c>
      <c r="C59">
        <v>0.713731110296981</v>
      </c>
      <c r="D59">
        <v>-1.98697212881745</v>
      </c>
      <c r="E59">
        <v>-16.075499152953199</v>
      </c>
      <c r="F59">
        <v>2.0759914206455199</v>
      </c>
      <c r="G59" s="3">
        <v>1.0182076179365169</v>
      </c>
      <c r="H59" s="3">
        <v>3.2266335736206901</v>
      </c>
      <c r="I59" s="3">
        <f t="shared" si="0"/>
        <v>-0.53886249560520305</v>
      </c>
    </row>
    <row r="60" spans="1:9" x14ac:dyDescent="0.35">
      <c r="A60" s="1">
        <v>44013</v>
      </c>
      <c r="B60">
        <v>-1.00323705572291</v>
      </c>
      <c r="C60">
        <v>1.2212588375676701</v>
      </c>
      <c r="D60">
        <v>-1.7388384998370401</v>
      </c>
      <c r="E60">
        <v>-7.6694206925074004</v>
      </c>
      <c r="F60">
        <v>0.98377898306980305</v>
      </c>
      <c r="G60" s="3">
        <v>0.31352859101567709</v>
      </c>
      <c r="H60" s="3">
        <v>2.226156826984127</v>
      </c>
      <c r="I60" s="3">
        <f t="shared" si="0"/>
        <v>-0.6897084647072329</v>
      </c>
    </row>
    <row r="61" spans="1:9" x14ac:dyDescent="0.35">
      <c r="A61" s="1">
        <v>44105</v>
      </c>
      <c r="B61">
        <v>-0.56974088012760804</v>
      </c>
      <c r="C61">
        <v>1.5296202281721001</v>
      </c>
      <c r="D61">
        <v>-1.49107779428298</v>
      </c>
      <c r="E61">
        <v>-2.90524678200154</v>
      </c>
      <c r="F61">
        <v>0.28351170806104298</v>
      </c>
      <c r="G61" s="3">
        <v>1.7256844533205971</v>
      </c>
      <c r="H61" s="3">
        <v>1.753357668474576</v>
      </c>
      <c r="I61" s="3">
        <f t="shared" si="0"/>
        <v>1.155943573192989</v>
      </c>
    </row>
    <row r="62" spans="1:9" x14ac:dyDescent="0.35">
      <c r="A62" s="1">
        <v>44197</v>
      </c>
      <c r="B62">
        <v>-2.4539508956407802E-2</v>
      </c>
      <c r="C62">
        <v>1.72620452950271</v>
      </c>
      <c r="D62">
        <v>-1.0642851432787299</v>
      </c>
      <c r="E62">
        <v>0.52788074220074999</v>
      </c>
      <c r="F62">
        <v>2.14754253295797E-2</v>
      </c>
      <c r="G62" s="3">
        <v>3.891140891906653</v>
      </c>
      <c r="H62" s="3">
        <v>1.734076304918033</v>
      </c>
      <c r="I62" s="3">
        <f t="shared" si="0"/>
        <v>3.866601382950245</v>
      </c>
    </row>
    <row r="63" spans="1:9" x14ac:dyDescent="0.35">
      <c r="A63" s="1">
        <v>44287</v>
      </c>
      <c r="B63">
        <v>7.1826213363118702E-2</v>
      </c>
      <c r="C63">
        <v>1.3700213162205801</v>
      </c>
      <c r="D63">
        <v>-0.75337940863767305</v>
      </c>
      <c r="E63">
        <v>-0.64147703971889303</v>
      </c>
      <c r="F63">
        <v>-1.04920175776356</v>
      </c>
      <c r="G63" s="3">
        <v>4.9820898080255249</v>
      </c>
      <c r="H63" s="3">
        <v>1.750735391666667</v>
      </c>
      <c r="I63" s="3">
        <f t="shared" si="0"/>
        <v>5.0539160213886438</v>
      </c>
    </row>
    <row r="64" spans="1:9" x14ac:dyDescent="0.35">
      <c r="A64" s="1">
        <v>44378</v>
      </c>
      <c r="B64">
        <v>0.71814259818395698</v>
      </c>
      <c r="C64">
        <v>1.7578258222415799</v>
      </c>
      <c r="D64">
        <v>-0.34064950514881498</v>
      </c>
      <c r="E64">
        <v>3.5136856005094601</v>
      </c>
      <c r="F64">
        <v>-2.7224091044369798</v>
      </c>
      <c r="G64" s="3">
        <v>4.4906798489021682</v>
      </c>
      <c r="H64" s="3">
        <v>1.7681322442857139</v>
      </c>
      <c r="I64" s="3">
        <f t="shared" si="0"/>
        <v>5.2088224470861251</v>
      </c>
    </row>
    <row r="65" spans="1:9" x14ac:dyDescent="0.35">
      <c r="A65" s="1">
        <v>44470</v>
      </c>
      <c r="B65">
        <v>0.88280824223918897</v>
      </c>
      <c r="C65">
        <v>2.1297903846695498</v>
      </c>
      <c r="D65">
        <v>-0.40002946130904898</v>
      </c>
      <c r="E65">
        <v>5.3158329568502696</v>
      </c>
      <c r="F65">
        <v>-2.5337539745120998</v>
      </c>
      <c r="G65" s="3">
        <v>3.0127745295906339</v>
      </c>
      <c r="H65" s="3">
        <v>2.4432255373333329</v>
      </c>
      <c r="I65" s="3">
        <f t="shared" si="0"/>
        <v>3.8955827718298228</v>
      </c>
    </row>
    <row r="66" spans="1:9" x14ac:dyDescent="0.35">
      <c r="A66" s="1">
        <v>44562</v>
      </c>
      <c r="B66">
        <v>1.95621193068038</v>
      </c>
      <c r="C66">
        <v>1.9718114325487199</v>
      </c>
      <c r="D66">
        <v>0.76852976807477702</v>
      </c>
      <c r="E66">
        <v>7.7185030133375703</v>
      </c>
      <c r="F66">
        <v>-4.58217188462298</v>
      </c>
      <c r="G66" s="3">
        <v>13.04747333376819</v>
      </c>
      <c r="H66" s="3">
        <v>3.757294426129032</v>
      </c>
      <c r="I66" s="3">
        <f t="shared" si="0"/>
        <v>15.003685264448571</v>
      </c>
    </row>
    <row r="67" spans="1:9" x14ac:dyDescent="0.35">
      <c r="A67" s="1">
        <v>44652</v>
      </c>
      <c r="B67">
        <v>2.5996517005217599</v>
      </c>
      <c r="C67">
        <v>2.0254536707039099</v>
      </c>
      <c r="D67">
        <v>1.37965918188134</v>
      </c>
      <c r="E67">
        <v>9.2928603233522207</v>
      </c>
      <c r="F67">
        <v>-4.9694257879806996</v>
      </c>
      <c r="G67" s="3">
        <v>11.95716554957473</v>
      </c>
      <c r="H67" s="3">
        <v>5.7572492280000001</v>
      </c>
      <c r="I67" s="3">
        <f t="shared" ref="I67:I71" si="1">B67+G67</f>
        <v>14.55681725009649</v>
      </c>
    </row>
    <row r="68" spans="1:9" x14ac:dyDescent="0.35">
      <c r="A68" s="1">
        <v>44743</v>
      </c>
      <c r="B68">
        <v>2.7323909389840702</v>
      </c>
      <c r="C68">
        <v>2.1465173206894801</v>
      </c>
      <c r="D68">
        <v>1.4394780917288901</v>
      </c>
      <c r="E68">
        <v>9.3339293012911604</v>
      </c>
      <c r="F68">
        <v>-3.6497557688656799</v>
      </c>
      <c r="G68" s="3">
        <v>9.9600369707198766</v>
      </c>
      <c r="H68" s="3">
        <v>8.5769977660317451</v>
      </c>
      <c r="I68" s="3">
        <f t="shared" si="1"/>
        <v>12.692427909703946</v>
      </c>
    </row>
    <row r="69" spans="1:9" x14ac:dyDescent="0.35">
      <c r="A69" s="1">
        <v>44835</v>
      </c>
      <c r="B69">
        <v>2.4750473484645399</v>
      </c>
      <c r="C69">
        <v>2.09294487038167</v>
      </c>
      <c r="D69">
        <v>1.21440282189529</v>
      </c>
      <c r="E69">
        <v>7.0456754521535503</v>
      </c>
      <c r="F69">
        <v>-2.8219539239606499</v>
      </c>
      <c r="G69" s="3">
        <v>9.7121109021589334</v>
      </c>
      <c r="H69" s="3">
        <v>10.822290113559321</v>
      </c>
      <c r="I69" s="3">
        <f t="shared" si="1"/>
        <v>12.187158250623472</v>
      </c>
    </row>
    <row r="70" spans="1:9" x14ac:dyDescent="0.35">
      <c r="A70" s="1">
        <v>44927</v>
      </c>
      <c r="B70">
        <v>3.3194898754803499</v>
      </c>
      <c r="C70">
        <v>2.19614199091464</v>
      </c>
      <c r="D70">
        <v>1.9966865758833801</v>
      </c>
      <c r="E70">
        <v>9.2434315799023405</v>
      </c>
      <c r="F70">
        <v>-3.0301186410623702</v>
      </c>
      <c r="G70" s="3">
        <v>17.075218157969768</v>
      </c>
      <c r="H70" s="3">
        <v>12.46550412952381</v>
      </c>
      <c r="I70" s="3">
        <f t="shared" si="1"/>
        <v>20.394708033450119</v>
      </c>
    </row>
    <row r="71" spans="1:9" x14ac:dyDescent="0.35">
      <c r="A71" s="1">
        <v>45017</v>
      </c>
      <c r="B71">
        <v>2.9744803857299398</v>
      </c>
      <c r="C71">
        <v>2.3079685711731202</v>
      </c>
      <c r="D71">
        <v>1.5843205263292099</v>
      </c>
      <c r="E71">
        <v>6.8701109921910302</v>
      </c>
      <c r="F71">
        <v>-1.7184185770251601</v>
      </c>
      <c r="G71" s="3">
        <v>11.00628442178995</v>
      </c>
      <c r="H71" s="3">
        <v>13.19447442186441</v>
      </c>
      <c r="I71" s="3">
        <f t="shared" si="1"/>
        <v>13.98076480751989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output.co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Temitope FAROTIMI</cp:lastModifiedBy>
  <dcterms:created xsi:type="dcterms:W3CDTF">2025-04-10T23:38:44Z</dcterms:created>
  <dcterms:modified xsi:type="dcterms:W3CDTF">2025-04-10T23:38:44Z</dcterms:modified>
</cp:coreProperties>
</file>
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farotimi\Documents\CEPAL\Tasa-Natural-de-Interes\HLW_2023_Replication_Code\HLW_2023_Replication_Code\output\"/>
    </mc:Choice>
  </mc:AlternateContent>
  <xr:revisionPtr revIDLastSave="0" documentId="13_ncr:9_{D320EC67-A0C8-4323-9EBB-C86FF3F9D18B}" xr6:coauthVersionLast="47" xr6:coauthVersionMax="47" xr10:uidLastSave="{00000000-0000-0000-0000-000000000000}"/>
  <bookViews>
    <workbookView xWindow="28680" yWindow="-120" windowWidth="29040" windowHeight="15840" xr2:uid="{7790A0B6-F6C4-4F13-AB6C-E7B9CD0760E5}"/>
  </bookViews>
  <sheets>
    <sheet name="output.mx" sheetId="1" r:id="rId1"/>
  </sheets>
  <calcPr calcId="0"/>
</workbook>
</file>

<file path=xl/calcChain.xml><?xml version="1.0" encoding="utf-8"?>
<calcChain xmlns="http://schemas.openxmlformats.org/spreadsheetml/2006/main">
  <c r="T9" i="1" l="1"/>
  <c r="T8" i="1"/>
  <c r="T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2" i="1"/>
</calcChain>
</file>

<file path=xl/sharedStrings.xml><?xml version="1.0" encoding="utf-8"?>
<sst xmlns="http://schemas.openxmlformats.org/spreadsheetml/2006/main" count="38" uniqueCount="36">
  <si>
    <t>Date</t>
  </si>
  <si>
    <t>rstar</t>
  </si>
  <si>
    <t>g</t>
  </si>
  <si>
    <t>z</t>
  </si>
  <si>
    <t>output gap</t>
  </si>
  <si>
    <t>real rate gap</t>
  </si>
  <si>
    <t>All results are output from the Stage 3 model.</t>
  </si>
  <si>
    <t>Standard Errors</t>
  </si>
  <si>
    <t>y*</t>
  </si>
  <si>
    <t>r*</t>
  </si>
  <si>
    <t>Parameter Point Estimates</t>
  </si>
  <si>
    <t>a_y1</t>
  </si>
  <si>
    <t>a_y2</t>
  </si>
  <si>
    <t>a_r</t>
  </si>
  <si>
    <t>b_pi</t>
  </si>
  <si>
    <t>b_y</t>
  </si>
  <si>
    <t>sigma_ygap</t>
  </si>
  <si>
    <t>sigma_pi</t>
  </si>
  <si>
    <t>sigma_ystar</t>
  </si>
  <si>
    <t>phi</t>
  </si>
  <si>
    <t>c</t>
  </si>
  <si>
    <t>a_y1 + a_y2</t>
  </si>
  <si>
    <t>Signal-to-noise Ratios</t>
  </si>
  <si>
    <t>Log Likelihood</t>
  </si>
  <si>
    <t>lambda_g</t>
  </si>
  <si>
    <t>lambda_z</t>
  </si>
  <si>
    <t>State vector: [y_{t}* y_{t-1}* y_{t-2}* g_{t} g_{t-1} g_{t-2} z_{t} z_{t-1} z_{t-2}]</t>
  </si>
  <si>
    <t>Initial State Vector</t>
  </si>
  <si>
    <t>Initial Covariance Matrix</t>
  </si>
  <si>
    <t>inflation</t>
  </si>
  <si>
    <t>interest</t>
  </si>
  <si>
    <t>r* + inflation</t>
  </si>
  <si>
    <t>Correlation</t>
  </si>
  <si>
    <t>r*, inflation</t>
  </si>
  <si>
    <t>r*, interest</t>
  </si>
  <si>
    <t>r* + inflation,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</si>
</sst>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0" fillId="6" borderId="5" xfId="10"/>
    <xf numFmtId="0" fontId="9" fillId="5" borderId="4" xfId="9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output.mx!$B$1</c:f>
              <c:strCache>
                <c:ptCount val="1"/>
                <c:pt idx="0">
                  <c:v>rstar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output.mx!$A$2:$A$66</c:f>
              <c:numCache>
                <c:formatCode>m/d/yyyy</c:formatCode>
                <c:ptCount val="65"/>
                <c:pt idx="0">
                  <c:v>39083</c:v>
                </c:pt>
                <c:pt idx="1">
                  <c:v>39173</c:v>
                </c:pt>
                <c:pt idx="2">
                  <c:v>39264</c:v>
                </c:pt>
                <c:pt idx="3">
                  <c:v>39356</c:v>
                </c:pt>
                <c:pt idx="4">
                  <c:v>39448</c:v>
                </c:pt>
                <c:pt idx="5">
                  <c:v>39539</c:v>
                </c:pt>
                <c:pt idx="6">
                  <c:v>39630</c:v>
                </c:pt>
                <c:pt idx="7">
                  <c:v>39722</c:v>
                </c:pt>
                <c:pt idx="8">
                  <c:v>39814</c:v>
                </c:pt>
                <c:pt idx="9">
                  <c:v>39904</c:v>
                </c:pt>
                <c:pt idx="10">
                  <c:v>39995</c:v>
                </c:pt>
                <c:pt idx="11">
                  <c:v>40087</c:v>
                </c:pt>
                <c:pt idx="12">
                  <c:v>40179</c:v>
                </c:pt>
                <c:pt idx="13">
                  <c:v>40269</c:v>
                </c:pt>
                <c:pt idx="14">
                  <c:v>40360</c:v>
                </c:pt>
                <c:pt idx="15">
                  <c:v>40452</c:v>
                </c:pt>
                <c:pt idx="16">
                  <c:v>40544</c:v>
                </c:pt>
                <c:pt idx="17">
                  <c:v>40634</c:v>
                </c:pt>
                <c:pt idx="18">
                  <c:v>40725</c:v>
                </c:pt>
                <c:pt idx="19">
                  <c:v>40817</c:v>
                </c:pt>
                <c:pt idx="20">
                  <c:v>40909</c:v>
                </c:pt>
                <c:pt idx="21">
                  <c:v>41000</c:v>
                </c:pt>
                <c:pt idx="22">
                  <c:v>41091</c:v>
                </c:pt>
                <c:pt idx="23">
                  <c:v>41183</c:v>
                </c:pt>
                <c:pt idx="24">
                  <c:v>41275</c:v>
                </c:pt>
                <c:pt idx="25">
                  <c:v>41365</c:v>
                </c:pt>
                <c:pt idx="26">
                  <c:v>41456</c:v>
                </c:pt>
                <c:pt idx="27">
                  <c:v>41548</c:v>
                </c:pt>
                <c:pt idx="28">
                  <c:v>41640</c:v>
                </c:pt>
                <c:pt idx="29">
                  <c:v>41730</c:v>
                </c:pt>
                <c:pt idx="30">
                  <c:v>41821</c:v>
                </c:pt>
                <c:pt idx="31">
                  <c:v>41913</c:v>
                </c:pt>
                <c:pt idx="32">
                  <c:v>42005</c:v>
                </c:pt>
                <c:pt idx="33">
                  <c:v>42095</c:v>
                </c:pt>
                <c:pt idx="34">
                  <c:v>42186</c:v>
                </c:pt>
                <c:pt idx="35">
                  <c:v>42278</c:v>
                </c:pt>
                <c:pt idx="36">
                  <c:v>42370</c:v>
                </c:pt>
                <c:pt idx="37">
                  <c:v>42461</c:v>
                </c:pt>
                <c:pt idx="38">
                  <c:v>42552</c:v>
                </c:pt>
                <c:pt idx="39">
                  <c:v>42644</c:v>
                </c:pt>
                <c:pt idx="40">
                  <c:v>42736</c:v>
                </c:pt>
                <c:pt idx="41">
                  <c:v>42826</c:v>
                </c:pt>
                <c:pt idx="42">
                  <c:v>42917</c:v>
                </c:pt>
                <c:pt idx="43">
                  <c:v>43009</c:v>
                </c:pt>
                <c:pt idx="44">
                  <c:v>43101</c:v>
                </c:pt>
                <c:pt idx="45">
                  <c:v>43191</c:v>
                </c:pt>
                <c:pt idx="46">
                  <c:v>43282</c:v>
                </c:pt>
                <c:pt idx="47">
                  <c:v>43374</c:v>
                </c:pt>
                <c:pt idx="48">
                  <c:v>43466</c:v>
                </c:pt>
                <c:pt idx="49">
                  <c:v>43556</c:v>
                </c:pt>
                <c:pt idx="50">
                  <c:v>43647</c:v>
                </c:pt>
                <c:pt idx="51">
                  <c:v>43739</c:v>
                </c:pt>
                <c:pt idx="52">
                  <c:v>43831</c:v>
                </c:pt>
                <c:pt idx="53">
                  <c:v>43922</c:v>
                </c:pt>
                <c:pt idx="54">
                  <c:v>44013</c:v>
                </c:pt>
                <c:pt idx="55">
                  <c:v>44105</c:v>
                </c:pt>
                <c:pt idx="56">
                  <c:v>44197</c:v>
                </c:pt>
                <c:pt idx="57">
                  <c:v>44287</c:v>
                </c:pt>
                <c:pt idx="58">
                  <c:v>44378</c:v>
                </c:pt>
                <c:pt idx="59">
                  <c:v>44470</c:v>
                </c:pt>
                <c:pt idx="60">
                  <c:v>44562</c:v>
                </c:pt>
                <c:pt idx="61">
                  <c:v>44652</c:v>
                </c:pt>
                <c:pt idx="62">
                  <c:v>44743</c:v>
                </c:pt>
                <c:pt idx="63">
                  <c:v>44835</c:v>
                </c:pt>
                <c:pt idx="64">
                  <c:v>44927</c:v>
                </c:pt>
              </c:numCache>
            </c:numRef>
          </c:cat>
          <c:val>
            <c:numRef>
              <c:f>output.mx!$B$2:$B$66</c:f>
              <c:numCache>
                <c:formatCode>General</c:formatCode>
                <c:ptCount val="65"/>
                <c:pt idx="0">
                  <c:v>1.89123057298125</c:v>
                </c:pt>
                <c:pt idx="1">
                  <c:v>2.2030592640578699</c:v>
                </c:pt>
                <c:pt idx="2">
                  <c:v>2.4584161421416</c:v>
                </c:pt>
                <c:pt idx="3">
                  <c:v>2.6173670611530002</c:v>
                </c:pt>
                <c:pt idx="4">
                  <c:v>2.5177055372756398</c:v>
                </c:pt>
                <c:pt idx="5">
                  <c:v>2.68056385338704</c:v>
                </c:pt>
                <c:pt idx="6">
                  <c:v>2.7153998077992001</c:v>
                </c:pt>
                <c:pt idx="7">
                  <c:v>1.96666235901338</c:v>
                </c:pt>
                <c:pt idx="8">
                  <c:v>-0.22358990589564001</c:v>
                </c:pt>
                <c:pt idx="9">
                  <c:v>-1.55322900477828</c:v>
                </c:pt>
                <c:pt idx="10">
                  <c:v>-1.2465804218971099</c:v>
                </c:pt>
                <c:pt idx="11">
                  <c:v>-1.0955148469151801</c:v>
                </c:pt>
                <c:pt idx="12">
                  <c:v>-0.76651375348658701</c:v>
                </c:pt>
                <c:pt idx="13">
                  <c:v>-0.98745380419613504</c:v>
                </c:pt>
                <c:pt idx="14">
                  <c:v>-1.0677418567344299</c:v>
                </c:pt>
                <c:pt idx="15">
                  <c:v>-0.96396623694546202</c:v>
                </c:pt>
                <c:pt idx="16">
                  <c:v>-0.48401227588725798</c:v>
                </c:pt>
                <c:pt idx="17">
                  <c:v>-0.74085713284936405</c:v>
                </c:pt>
                <c:pt idx="18">
                  <c:v>-0.35965438643596598</c:v>
                </c:pt>
                <c:pt idx="19">
                  <c:v>6.8426123760232604E-2</c:v>
                </c:pt>
                <c:pt idx="20">
                  <c:v>0.84313248056566104</c:v>
                </c:pt>
                <c:pt idx="21">
                  <c:v>0.68510145152157798</c:v>
                </c:pt>
                <c:pt idx="22">
                  <c:v>0.74933359979780301</c:v>
                </c:pt>
                <c:pt idx="23">
                  <c:v>0.37268717436186799</c:v>
                </c:pt>
                <c:pt idx="24">
                  <c:v>0.86414070748470895</c:v>
                </c:pt>
                <c:pt idx="25">
                  <c:v>0.29775476980770199</c:v>
                </c:pt>
                <c:pt idx="26">
                  <c:v>-0.23093143486800599</c:v>
                </c:pt>
                <c:pt idx="27">
                  <c:v>9.9165153664872996E-2</c:v>
                </c:pt>
                <c:pt idx="28">
                  <c:v>1.7843800718593901</c:v>
                </c:pt>
                <c:pt idx="29">
                  <c:v>1.3219051486072899</c:v>
                </c:pt>
                <c:pt idx="30">
                  <c:v>1.0199417898147201</c:v>
                </c:pt>
                <c:pt idx="31">
                  <c:v>0.885029030977597</c:v>
                </c:pt>
                <c:pt idx="32">
                  <c:v>0.28245752525393802</c:v>
                </c:pt>
                <c:pt idx="33">
                  <c:v>0.61760648897310799</c:v>
                </c:pt>
                <c:pt idx="34">
                  <c:v>0.96278604326443296</c:v>
                </c:pt>
                <c:pt idx="35">
                  <c:v>1.1475946483649899</c:v>
                </c:pt>
                <c:pt idx="36">
                  <c:v>1.5833349599889099</c:v>
                </c:pt>
                <c:pt idx="37">
                  <c:v>1.89701475400389</c:v>
                </c:pt>
                <c:pt idx="38">
                  <c:v>1.8781243336687501</c:v>
                </c:pt>
                <c:pt idx="39">
                  <c:v>2.8773564515574699</c:v>
                </c:pt>
                <c:pt idx="40">
                  <c:v>5.5379964897527696</c:v>
                </c:pt>
                <c:pt idx="41">
                  <c:v>5.9430768251196904</c:v>
                </c:pt>
                <c:pt idx="42">
                  <c:v>4.3313220656430103</c:v>
                </c:pt>
                <c:pt idx="43">
                  <c:v>3.9991834701431701</c:v>
                </c:pt>
                <c:pt idx="44">
                  <c:v>4.39907580308852</c:v>
                </c:pt>
                <c:pt idx="45">
                  <c:v>3.3381078960906998</c:v>
                </c:pt>
                <c:pt idx="46">
                  <c:v>3.1781413418174198</c:v>
                </c:pt>
                <c:pt idx="47">
                  <c:v>3.3834062287311202</c:v>
                </c:pt>
                <c:pt idx="48">
                  <c:v>3.6333182413859499</c:v>
                </c:pt>
                <c:pt idx="49">
                  <c:v>3.8634549001868002</c:v>
                </c:pt>
                <c:pt idx="50">
                  <c:v>2.9249759951840901</c:v>
                </c:pt>
                <c:pt idx="51">
                  <c:v>2.4180929513849301</c:v>
                </c:pt>
                <c:pt idx="52">
                  <c:v>2.5161131013446401</c:v>
                </c:pt>
                <c:pt idx="53">
                  <c:v>-3.5626678380964201</c:v>
                </c:pt>
                <c:pt idx="54">
                  <c:v>-0.84134184784011701</c:v>
                </c:pt>
                <c:pt idx="55">
                  <c:v>-0.87743734919697303</c:v>
                </c:pt>
                <c:pt idx="56">
                  <c:v>0.18960364879673799</c:v>
                </c:pt>
                <c:pt idx="57">
                  <c:v>1.60410118761937</c:v>
                </c:pt>
                <c:pt idx="58">
                  <c:v>2.0951787186639499</c:v>
                </c:pt>
                <c:pt idx="59">
                  <c:v>2.7141668154604202</c:v>
                </c:pt>
                <c:pt idx="60">
                  <c:v>5.4315490417205403</c:v>
                </c:pt>
                <c:pt idx="61">
                  <c:v>7.29795495937823</c:v>
                </c:pt>
                <c:pt idx="62">
                  <c:v>8.0471276018385307</c:v>
                </c:pt>
                <c:pt idx="63">
                  <c:v>7.4075785952794604</c:v>
                </c:pt>
                <c:pt idx="64">
                  <c:v>7.1314545718688098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B5-4253-9749-E3A90EE240BF}"/>
            </c:ext>
          </c:extLst>
        </c:ser>
        <c:ser>
          <c:idx val="1"/>
          <c:order val="1"/>
          <c:tx>
            <c:strRef>
              <c:f>output.mx!$G$1</c:f>
              <c:strCache>
                <c:ptCount val="1"/>
                <c:pt idx="0">
                  <c:v>inflation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output.mx!$A$2:$A$66</c:f>
              <c:numCache>
                <c:formatCode>m/d/yyyy</c:formatCode>
                <c:ptCount val="65"/>
                <c:pt idx="0">
                  <c:v>39083</c:v>
                </c:pt>
                <c:pt idx="1">
                  <c:v>39173</c:v>
                </c:pt>
                <c:pt idx="2">
                  <c:v>39264</c:v>
                </c:pt>
                <c:pt idx="3">
                  <c:v>39356</c:v>
                </c:pt>
                <c:pt idx="4">
                  <c:v>39448</c:v>
                </c:pt>
                <c:pt idx="5">
                  <c:v>39539</c:v>
                </c:pt>
                <c:pt idx="6">
                  <c:v>39630</c:v>
                </c:pt>
                <c:pt idx="7">
                  <c:v>39722</c:v>
                </c:pt>
                <c:pt idx="8">
                  <c:v>39814</c:v>
                </c:pt>
                <c:pt idx="9">
                  <c:v>39904</c:v>
                </c:pt>
                <c:pt idx="10">
                  <c:v>39995</c:v>
                </c:pt>
                <c:pt idx="11">
                  <c:v>40087</c:v>
                </c:pt>
                <c:pt idx="12">
                  <c:v>40179</c:v>
                </c:pt>
                <c:pt idx="13">
                  <c:v>40269</c:v>
                </c:pt>
                <c:pt idx="14">
                  <c:v>40360</c:v>
                </c:pt>
                <c:pt idx="15">
                  <c:v>40452</c:v>
                </c:pt>
                <c:pt idx="16">
                  <c:v>40544</c:v>
                </c:pt>
                <c:pt idx="17">
                  <c:v>40634</c:v>
                </c:pt>
                <c:pt idx="18">
                  <c:v>40725</c:v>
                </c:pt>
                <c:pt idx="19">
                  <c:v>40817</c:v>
                </c:pt>
                <c:pt idx="20">
                  <c:v>40909</c:v>
                </c:pt>
                <c:pt idx="21">
                  <c:v>41000</c:v>
                </c:pt>
                <c:pt idx="22">
                  <c:v>41091</c:v>
                </c:pt>
                <c:pt idx="23">
                  <c:v>41183</c:v>
                </c:pt>
                <c:pt idx="24">
                  <c:v>41275</c:v>
                </c:pt>
                <c:pt idx="25">
                  <c:v>41365</c:v>
                </c:pt>
                <c:pt idx="26">
                  <c:v>41456</c:v>
                </c:pt>
                <c:pt idx="27">
                  <c:v>41548</c:v>
                </c:pt>
                <c:pt idx="28">
                  <c:v>41640</c:v>
                </c:pt>
                <c:pt idx="29">
                  <c:v>41730</c:v>
                </c:pt>
                <c:pt idx="30">
                  <c:v>41821</c:v>
                </c:pt>
                <c:pt idx="31">
                  <c:v>41913</c:v>
                </c:pt>
                <c:pt idx="32">
                  <c:v>42005</c:v>
                </c:pt>
                <c:pt idx="33">
                  <c:v>42095</c:v>
                </c:pt>
                <c:pt idx="34">
                  <c:v>42186</c:v>
                </c:pt>
                <c:pt idx="35">
                  <c:v>42278</c:v>
                </c:pt>
                <c:pt idx="36">
                  <c:v>42370</c:v>
                </c:pt>
                <c:pt idx="37">
                  <c:v>42461</c:v>
                </c:pt>
                <c:pt idx="38">
                  <c:v>42552</c:v>
                </c:pt>
                <c:pt idx="39">
                  <c:v>42644</c:v>
                </c:pt>
                <c:pt idx="40">
                  <c:v>42736</c:v>
                </c:pt>
                <c:pt idx="41">
                  <c:v>42826</c:v>
                </c:pt>
                <c:pt idx="42">
                  <c:v>42917</c:v>
                </c:pt>
                <c:pt idx="43">
                  <c:v>43009</c:v>
                </c:pt>
                <c:pt idx="44">
                  <c:v>43101</c:v>
                </c:pt>
                <c:pt idx="45">
                  <c:v>43191</c:v>
                </c:pt>
                <c:pt idx="46">
                  <c:v>43282</c:v>
                </c:pt>
                <c:pt idx="47">
                  <c:v>43374</c:v>
                </c:pt>
                <c:pt idx="48">
                  <c:v>43466</c:v>
                </c:pt>
                <c:pt idx="49">
                  <c:v>43556</c:v>
                </c:pt>
                <c:pt idx="50">
                  <c:v>43647</c:v>
                </c:pt>
                <c:pt idx="51">
                  <c:v>43739</c:v>
                </c:pt>
                <c:pt idx="52">
                  <c:v>43831</c:v>
                </c:pt>
                <c:pt idx="53">
                  <c:v>43922</c:v>
                </c:pt>
                <c:pt idx="54">
                  <c:v>44013</c:v>
                </c:pt>
                <c:pt idx="55">
                  <c:v>44105</c:v>
                </c:pt>
                <c:pt idx="56">
                  <c:v>44197</c:v>
                </c:pt>
                <c:pt idx="57">
                  <c:v>44287</c:v>
                </c:pt>
                <c:pt idx="58">
                  <c:v>44378</c:v>
                </c:pt>
                <c:pt idx="59">
                  <c:v>44470</c:v>
                </c:pt>
                <c:pt idx="60">
                  <c:v>44562</c:v>
                </c:pt>
                <c:pt idx="61">
                  <c:v>44652</c:v>
                </c:pt>
                <c:pt idx="62">
                  <c:v>44743</c:v>
                </c:pt>
                <c:pt idx="63">
                  <c:v>44835</c:v>
                </c:pt>
                <c:pt idx="64">
                  <c:v>44927</c:v>
                </c:pt>
              </c:numCache>
            </c:numRef>
          </c:cat>
          <c:val>
            <c:numRef>
              <c:f>output.mx!$G$2:$G$66</c:f>
              <c:numCache>
                <c:formatCode>General</c:formatCode>
                <c:ptCount val="65"/>
                <c:pt idx="0">
                  <c:v>4.7536143220917593</c:v>
                </c:pt>
                <c:pt idx="1">
                  <c:v>2.9995205353107619</c:v>
                </c:pt>
                <c:pt idx="2">
                  <c:v>3.6608431896063549</c:v>
                </c:pt>
                <c:pt idx="3">
                  <c:v>4.1560008273135329</c:v>
                </c:pt>
                <c:pt idx="4">
                  <c:v>4.9501587922693657</c:v>
                </c:pt>
                <c:pt idx="5">
                  <c:v>5.4797323314526034</c:v>
                </c:pt>
                <c:pt idx="6">
                  <c:v>5.4937591115338247</c:v>
                </c:pt>
                <c:pt idx="7">
                  <c:v>5.3670875063546184</c:v>
                </c:pt>
                <c:pt idx="8">
                  <c:v>5.9984268631781523</c:v>
                </c:pt>
                <c:pt idx="9">
                  <c:v>4.652897192632488</c:v>
                </c:pt>
                <c:pt idx="10">
                  <c:v>3.1513199882166938</c:v>
                </c:pt>
                <c:pt idx="11">
                  <c:v>3.6043345944380518</c:v>
                </c:pt>
                <c:pt idx="12">
                  <c:v>6.1658753221655038</c:v>
                </c:pt>
                <c:pt idx="13">
                  <c:v>2.7519030100945141</c:v>
                </c:pt>
                <c:pt idx="14">
                  <c:v>2.2903256690671951</c:v>
                </c:pt>
                <c:pt idx="15">
                  <c:v>3.1103019143184918</c:v>
                </c:pt>
                <c:pt idx="16">
                  <c:v>4.8789384281731962</c:v>
                </c:pt>
                <c:pt idx="17">
                  <c:v>2.4110291956751069</c:v>
                </c:pt>
                <c:pt idx="18">
                  <c:v>2.3311584027341898</c:v>
                </c:pt>
                <c:pt idx="19">
                  <c:v>3.5098124862678941</c:v>
                </c:pt>
                <c:pt idx="20">
                  <c:v>5.1707672369560642</c:v>
                </c:pt>
                <c:pt idx="21">
                  <c:v>2.8624008384040782</c:v>
                </c:pt>
                <c:pt idx="22">
                  <c:v>3.0548913384645271</c:v>
                </c:pt>
                <c:pt idx="23">
                  <c:v>2.0041130546772261</c:v>
                </c:pt>
                <c:pt idx="24">
                  <c:v>3.8949479744332161</c:v>
                </c:pt>
                <c:pt idx="25">
                  <c:v>2.5326502966600768</c:v>
                </c:pt>
                <c:pt idx="26">
                  <c:v>1.408782329191016</c:v>
                </c:pt>
                <c:pt idx="27">
                  <c:v>2.576328723736343</c:v>
                </c:pt>
                <c:pt idx="28">
                  <c:v>5.6287894508272318</c:v>
                </c:pt>
                <c:pt idx="29">
                  <c:v>2.6440056847855549</c:v>
                </c:pt>
                <c:pt idx="30">
                  <c:v>2.413341445658967</c:v>
                </c:pt>
                <c:pt idx="31">
                  <c:v>2.4942553251926509</c:v>
                </c:pt>
                <c:pt idx="32">
                  <c:v>1.977102127062347</c:v>
                </c:pt>
                <c:pt idx="33">
                  <c:v>2.4117936189585132</c:v>
                </c:pt>
                <c:pt idx="34">
                  <c:v>2.454338646773579</c:v>
                </c:pt>
                <c:pt idx="35">
                  <c:v>2.8073988714663272</c:v>
                </c:pt>
                <c:pt idx="36">
                  <c:v>3.124455097783962</c:v>
                </c:pt>
                <c:pt idx="37">
                  <c:v>3.2597647506319438</c:v>
                </c:pt>
                <c:pt idx="38">
                  <c:v>2.8092321945916821</c:v>
                </c:pt>
                <c:pt idx="39">
                  <c:v>3.9075190567076978</c:v>
                </c:pt>
                <c:pt idx="40">
                  <c:v>6.8064444936063229</c:v>
                </c:pt>
                <c:pt idx="41">
                  <c:v>5.6132840318900312</c:v>
                </c:pt>
                <c:pt idx="42">
                  <c:v>3.3432941732813188</c:v>
                </c:pt>
                <c:pt idx="43">
                  <c:v>3.6057238689686022</c:v>
                </c:pt>
                <c:pt idx="44">
                  <c:v>4.5314078871264929</c:v>
                </c:pt>
                <c:pt idx="45">
                  <c:v>3.1765357916665682</c:v>
                </c:pt>
                <c:pt idx="46">
                  <c:v>3.261325886763311</c:v>
                </c:pt>
                <c:pt idx="47">
                  <c:v>3.7845504114656809</c:v>
                </c:pt>
                <c:pt idx="48">
                  <c:v>4.0597330518520316</c:v>
                </c:pt>
                <c:pt idx="49">
                  <c:v>4.2242758249635406</c:v>
                </c:pt>
                <c:pt idx="50">
                  <c:v>3.027869621785007</c:v>
                </c:pt>
                <c:pt idx="51">
                  <c:v>3.2476644597159381</c:v>
                </c:pt>
                <c:pt idx="52">
                  <c:v>4.1293504514592794</c:v>
                </c:pt>
                <c:pt idx="53">
                  <c:v>4.0603461599709068</c:v>
                </c:pt>
                <c:pt idx="54">
                  <c:v>4.3508674107114453</c:v>
                </c:pt>
                <c:pt idx="55">
                  <c:v>2.792809295424115</c:v>
                </c:pt>
                <c:pt idx="56">
                  <c:v>4.6562693088463947</c:v>
                </c:pt>
                <c:pt idx="57">
                  <c:v>5.7607679621090924</c:v>
                </c:pt>
                <c:pt idx="58">
                  <c:v>6.067599416051328</c:v>
                </c:pt>
                <c:pt idx="59">
                  <c:v>5.9720819992299168</c:v>
                </c:pt>
                <c:pt idx="60">
                  <c:v>8.4020551252795617</c:v>
                </c:pt>
                <c:pt idx="61">
                  <c:v>9.0033835083508595</c:v>
                </c:pt>
                <c:pt idx="62">
                  <c:v>8.6741456725758503</c:v>
                </c:pt>
                <c:pt idx="63">
                  <c:v>7.6949866910769549</c:v>
                </c:pt>
                <c:pt idx="64">
                  <c:v>7.7558580000545394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B5-4253-9749-E3A90EE240BF}"/>
            </c:ext>
          </c:extLst>
        </c:ser>
        <c:ser>
          <c:idx val="2"/>
          <c:order val="2"/>
          <c:tx>
            <c:strRef>
              <c:f>output.mx!$H$1</c:f>
              <c:strCache>
                <c:ptCount val="1"/>
                <c:pt idx="0">
                  <c:v>interest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output.mx!$A$2:$A$66</c:f>
              <c:numCache>
                <c:formatCode>m/d/yyyy</c:formatCode>
                <c:ptCount val="65"/>
                <c:pt idx="0">
                  <c:v>39083</c:v>
                </c:pt>
                <c:pt idx="1">
                  <c:v>39173</c:v>
                </c:pt>
                <c:pt idx="2">
                  <c:v>39264</c:v>
                </c:pt>
                <c:pt idx="3">
                  <c:v>39356</c:v>
                </c:pt>
                <c:pt idx="4">
                  <c:v>39448</c:v>
                </c:pt>
                <c:pt idx="5">
                  <c:v>39539</c:v>
                </c:pt>
                <c:pt idx="6">
                  <c:v>39630</c:v>
                </c:pt>
                <c:pt idx="7">
                  <c:v>39722</c:v>
                </c:pt>
                <c:pt idx="8">
                  <c:v>39814</c:v>
                </c:pt>
                <c:pt idx="9">
                  <c:v>39904</c:v>
                </c:pt>
                <c:pt idx="10">
                  <c:v>39995</c:v>
                </c:pt>
                <c:pt idx="11">
                  <c:v>40087</c:v>
                </c:pt>
                <c:pt idx="12">
                  <c:v>40179</c:v>
                </c:pt>
                <c:pt idx="13">
                  <c:v>40269</c:v>
                </c:pt>
                <c:pt idx="14">
                  <c:v>40360</c:v>
                </c:pt>
                <c:pt idx="15">
                  <c:v>40452</c:v>
                </c:pt>
                <c:pt idx="16">
                  <c:v>40544</c:v>
                </c:pt>
                <c:pt idx="17">
                  <c:v>40634</c:v>
                </c:pt>
                <c:pt idx="18">
                  <c:v>40725</c:v>
                </c:pt>
                <c:pt idx="19">
                  <c:v>40817</c:v>
                </c:pt>
                <c:pt idx="20">
                  <c:v>40909</c:v>
                </c:pt>
                <c:pt idx="21">
                  <c:v>41000</c:v>
                </c:pt>
                <c:pt idx="22">
                  <c:v>41091</c:v>
                </c:pt>
                <c:pt idx="23">
                  <c:v>41183</c:v>
                </c:pt>
                <c:pt idx="24">
                  <c:v>41275</c:v>
                </c:pt>
                <c:pt idx="25">
                  <c:v>41365</c:v>
                </c:pt>
                <c:pt idx="26">
                  <c:v>41456</c:v>
                </c:pt>
                <c:pt idx="27">
                  <c:v>41548</c:v>
                </c:pt>
                <c:pt idx="28">
                  <c:v>41640</c:v>
                </c:pt>
                <c:pt idx="29">
                  <c:v>41730</c:v>
                </c:pt>
                <c:pt idx="30">
                  <c:v>41821</c:v>
                </c:pt>
                <c:pt idx="31">
                  <c:v>41913</c:v>
                </c:pt>
                <c:pt idx="32">
                  <c:v>42005</c:v>
                </c:pt>
                <c:pt idx="33">
                  <c:v>42095</c:v>
                </c:pt>
                <c:pt idx="34">
                  <c:v>42186</c:v>
                </c:pt>
                <c:pt idx="35">
                  <c:v>42278</c:v>
                </c:pt>
                <c:pt idx="36">
                  <c:v>42370</c:v>
                </c:pt>
                <c:pt idx="37">
                  <c:v>42461</c:v>
                </c:pt>
                <c:pt idx="38">
                  <c:v>42552</c:v>
                </c:pt>
                <c:pt idx="39">
                  <c:v>42644</c:v>
                </c:pt>
                <c:pt idx="40">
                  <c:v>42736</c:v>
                </c:pt>
                <c:pt idx="41">
                  <c:v>42826</c:v>
                </c:pt>
                <c:pt idx="42">
                  <c:v>42917</c:v>
                </c:pt>
                <c:pt idx="43">
                  <c:v>43009</c:v>
                </c:pt>
                <c:pt idx="44">
                  <c:v>43101</c:v>
                </c:pt>
                <c:pt idx="45">
                  <c:v>43191</c:v>
                </c:pt>
                <c:pt idx="46">
                  <c:v>43282</c:v>
                </c:pt>
                <c:pt idx="47">
                  <c:v>43374</c:v>
                </c:pt>
                <c:pt idx="48">
                  <c:v>43466</c:v>
                </c:pt>
                <c:pt idx="49">
                  <c:v>43556</c:v>
                </c:pt>
                <c:pt idx="50">
                  <c:v>43647</c:v>
                </c:pt>
                <c:pt idx="51">
                  <c:v>43739</c:v>
                </c:pt>
                <c:pt idx="52">
                  <c:v>43831</c:v>
                </c:pt>
                <c:pt idx="53">
                  <c:v>43922</c:v>
                </c:pt>
                <c:pt idx="54">
                  <c:v>44013</c:v>
                </c:pt>
                <c:pt idx="55">
                  <c:v>44105</c:v>
                </c:pt>
                <c:pt idx="56">
                  <c:v>44197</c:v>
                </c:pt>
                <c:pt idx="57">
                  <c:v>44287</c:v>
                </c:pt>
                <c:pt idx="58">
                  <c:v>44378</c:v>
                </c:pt>
                <c:pt idx="59">
                  <c:v>44470</c:v>
                </c:pt>
                <c:pt idx="60">
                  <c:v>44562</c:v>
                </c:pt>
                <c:pt idx="61">
                  <c:v>44652</c:v>
                </c:pt>
                <c:pt idx="62">
                  <c:v>44743</c:v>
                </c:pt>
                <c:pt idx="63">
                  <c:v>44835</c:v>
                </c:pt>
                <c:pt idx="64">
                  <c:v>44927</c:v>
                </c:pt>
              </c:numCache>
            </c:numRef>
          </c:cat>
          <c:val>
            <c:numRef>
              <c:f>output.mx!$H$2:$H$66</c:f>
              <c:numCache>
                <c:formatCode>General</c:formatCode>
                <c:ptCount val="65"/>
                <c:pt idx="0">
                  <c:v>7.03</c:v>
                </c:pt>
                <c:pt idx="1">
                  <c:v>7.2066666666666661</c:v>
                </c:pt>
                <c:pt idx="2">
                  <c:v>7.2633333333333328</c:v>
                </c:pt>
                <c:pt idx="3">
                  <c:v>7.4333333333333336</c:v>
                </c:pt>
                <c:pt idx="4">
                  <c:v>7.5066666666666668</c:v>
                </c:pt>
                <c:pt idx="5">
                  <c:v>7.5333333333333341</c:v>
                </c:pt>
                <c:pt idx="6">
                  <c:v>8.0766666666666662</c:v>
                </c:pt>
                <c:pt idx="7">
                  <c:v>8.22842105263158</c:v>
                </c:pt>
                <c:pt idx="8">
                  <c:v>7.6224731182795704</c:v>
                </c:pt>
                <c:pt idx="9">
                  <c:v>5.6785106382978716</c:v>
                </c:pt>
                <c:pt idx="10">
                  <c:v>4.5436842105263153</c:v>
                </c:pt>
                <c:pt idx="11">
                  <c:v>4.5019999999999998</c:v>
                </c:pt>
                <c:pt idx="12">
                  <c:v>4.503010752688172</c:v>
                </c:pt>
                <c:pt idx="13">
                  <c:v>4.5030851063829793</c:v>
                </c:pt>
                <c:pt idx="14">
                  <c:v>4.5028421052631584</c:v>
                </c:pt>
                <c:pt idx="15">
                  <c:v>4.5019999999999998</c:v>
                </c:pt>
                <c:pt idx="16">
                  <c:v>4.5006451612903229</c:v>
                </c:pt>
                <c:pt idx="17">
                  <c:v>4.4995744680851057</c:v>
                </c:pt>
                <c:pt idx="18">
                  <c:v>4.4976842105263151</c:v>
                </c:pt>
                <c:pt idx="19">
                  <c:v>4.4976842105263151</c:v>
                </c:pt>
                <c:pt idx="20">
                  <c:v>4.4997849462365593</c:v>
                </c:pt>
                <c:pt idx="21">
                  <c:v>4.4997849462365593</c:v>
                </c:pt>
                <c:pt idx="22">
                  <c:v>4.4996842105263157</c:v>
                </c:pt>
                <c:pt idx="23">
                  <c:v>4.5001052631578951</c:v>
                </c:pt>
                <c:pt idx="24">
                  <c:v>4.3669892473118281</c:v>
                </c:pt>
                <c:pt idx="25">
                  <c:v>4.0006382978723396</c:v>
                </c:pt>
                <c:pt idx="26">
                  <c:v>3.932526315789473</c:v>
                </c:pt>
                <c:pt idx="27">
                  <c:v>3.567473684210527</c:v>
                </c:pt>
                <c:pt idx="28">
                  <c:v>3.500322580645161</c:v>
                </c:pt>
                <c:pt idx="29">
                  <c:v>3.3639361702127659</c:v>
                </c:pt>
                <c:pt idx="30">
                  <c:v>3.0009574468085098</c:v>
                </c:pt>
                <c:pt idx="31">
                  <c:v>3.001789473684211</c:v>
                </c:pt>
                <c:pt idx="32">
                  <c:v>3.001827956989247</c:v>
                </c:pt>
                <c:pt idx="33">
                  <c:v>3.0017021276595748</c:v>
                </c:pt>
                <c:pt idx="34">
                  <c:v>3.0026315789473679</c:v>
                </c:pt>
                <c:pt idx="35">
                  <c:v>3.0431578947368418</c:v>
                </c:pt>
                <c:pt idx="36">
                  <c:v>3.4926595744680848</c:v>
                </c:pt>
                <c:pt idx="37">
                  <c:v>3.7569148936170209</c:v>
                </c:pt>
                <c:pt idx="38">
                  <c:v>4.2618947368421054</c:v>
                </c:pt>
                <c:pt idx="39">
                  <c:v>5.08778947368421</c:v>
                </c:pt>
                <c:pt idx="40">
                  <c:v>6.0398924731182797</c:v>
                </c:pt>
                <c:pt idx="41">
                  <c:v>6.646914893617021</c:v>
                </c:pt>
                <c:pt idx="42">
                  <c:v>7.0015789473684196</c:v>
                </c:pt>
                <c:pt idx="43">
                  <c:v>7.0504210526315783</c:v>
                </c:pt>
                <c:pt idx="44">
                  <c:v>7.3962365591397852</c:v>
                </c:pt>
                <c:pt idx="45">
                  <c:v>7.5293617021276598</c:v>
                </c:pt>
                <c:pt idx="46">
                  <c:v>7.7517894736842097</c:v>
                </c:pt>
                <c:pt idx="47">
                  <c:v>7.9124210526315784</c:v>
                </c:pt>
                <c:pt idx="48">
                  <c:v>8.250322580645161</c:v>
                </c:pt>
                <c:pt idx="49">
                  <c:v>8.2508602150537644</c:v>
                </c:pt>
                <c:pt idx="50">
                  <c:v>8.110631578947368</c:v>
                </c:pt>
                <c:pt idx="51">
                  <c:v>7.5868421052631581</c:v>
                </c:pt>
                <c:pt idx="52">
                  <c:v>7.0545652173913043</c:v>
                </c:pt>
                <c:pt idx="53">
                  <c:v>5.8153191489361697</c:v>
                </c:pt>
                <c:pt idx="54">
                  <c:v>4.7256382978723401</c:v>
                </c:pt>
                <c:pt idx="55">
                  <c:v>4.2506315789473694</c:v>
                </c:pt>
                <c:pt idx="56">
                  <c:v>4.1175268817204298</c:v>
                </c:pt>
                <c:pt idx="57">
                  <c:v>4.0170967741935479</c:v>
                </c:pt>
                <c:pt idx="58">
                  <c:v>4.3844210526315788</c:v>
                </c:pt>
                <c:pt idx="59">
                  <c:v>4.9673684210526314</c:v>
                </c:pt>
                <c:pt idx="60">
                  <c:v>5.8107526881720428</c:v>
                </c:pt>
                <c:pt idx="61">
                  <c:v>6.830000000000001</c:v>
                </c:pt>
                <c:pt idx="62">
                  <c:v>8.162234042553191</c:v>
                </c:pt>
                <c:pt idx="63">
                  <c:v>9.7529473684210526</c:v>
                </c:pt>
                <c:pt idx="64">
                  <c:v>10.780967741935481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B5-4253-9749-E3A90EE24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8788655"/>
        <c:axId val="948784335"/>
      </c:lineChart>
      <c:dateAx>
        <c:axId val="94878865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784335"/>
        <c:crosses val="autoZero"/>
        <c:auto val="1"/>
        <c:lblOffset val="100"/>
        <c:baseTimeUnit val="months"/>
      </c:dateAx>
      <c:valAx>
        <c:axId val="94878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78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4</xdr:row>
      <xdr:rowOff>20637</xdr:rowOff>
    </xdr:from>
    <xdr:to>
      <xdr:col>16</xdr:col>
      <xdr:colOff>438150</xdr:colOff>
      <xdr:row>19</xdr:row>
      <xdr:rowOff>55562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D832AE-B19A-109D-7CE6-E668411CE2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AD13-D262-40A5-991E-425FDFFE0469}">
  <dimension ref="A1:AC66"/>
  <sheetViews>
    <sheetView tabSelected="1" workbookViewId="0">
      <selection activeCell="S10" sqref="S10"/>
    </sheetView>
  </sheetViews>
  <sheetFormatPr defaultRowHeight="14.5" x14ac:dyDescent="0.35"/>
  <cols>
    <col min="7" max="8" width="8.7265625" style="3"/>
    <col min="9" max="9" width="11.453125" style="3" bestFit="1" customWidth="1"/>
    <col min="19" max="19" width="18.9062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29</v>
      </c>
      <c r="H1" s="3" t="s">
        <v>30</v>
      </c>
      <c r="I1" s="3" t="s">
        <v>31</v>
      </c>
      <c r="J1" t="s">
        <v>6</v>
      </c>
      <c r="Y1" t="s">
        <v>7</v>
      </c>
      <c r="Z1" t="s">
        <v>0</v>
      </c>
      <c r="AA1" t="s">
        <v>8</v>
      </c>
      <c r="AB1" t="s">
        <v>9</v>
      </c>
      <c r="AC1" t="s">
        <v>2</v>
      </c>
    </row>
    <row r="2" spans="1:29" x14ac:dyDescent="0.35">
      <c r="A2" s="1">
        <v>39083</v>
      </c>
      <c r="B2">
        <v>1.89123057298125</v>
      </c>
      <c r="C2">
        <v>2.0081661186264399</v>
      </c>
      <c r="D2">
        <v>3.4702802722597403E-2</v>
      </c>
      <c r="E2">
        <v>1.54081645064298</v>
      </c>
      <c r="F2">
        <v>1.2333804905444199</v>
      </c>
      <c r="G2" s="3">
        <v>4.7536143220917593</v>
      </c>
      <c r="H2" s="3">
        <v>7.03</v>
      </c>
      <c r="I2" s="3">
        <f>B2+G2</f>
        <v>6.6448448950730095</v>
      </c>
      <c r="J2" t="s">
        <v>10</v>
      </c>
    </row>
    <row r="3" spans="1:29" x14ac:dyDescent="0.35">
      <c r="A3" s="1">
        <v>39173</v>
      </c>
      <c r="B3">
        <v>2.2030592640578699</v>
      </c>
      <c r="C3">
        <v>2.2455415275093</v>
      </c>
      <c r="D3">
        <v>0.127080505915313</v>
      </c>
      <c r="E3">
        <v>1.61314779541635</v>
      </c>
      <c r="F3">
        <v>1.2732567047569401</v>
      </c>
      <c r="G3" s="3">
        <v>2.9995205353107619</v>
      </c>
      <c r="H3" s="3">
        <v>7.2066666666666661</v>
      </c>
      <c r="I3" s="3">
        <f t="shared" ref="I3:I66" si="0">B3+G3</f>
        <v>5.2025797993686318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</row>
    <row r="4" spans="1:29" x14ac:dyDescent="0.35">
      <c r="A4" s="1">
        <v>39264</v>
      </c>
      <c r="B4">
        <v>2.4584161421416</v>
      </c>
      <c r="C4">
        <v>2.3941132478803802</v>
      </c>
      <c r="D4">
        <v>0.245084441836741</v>
      </c>
      <c r="E4">
        <v>1.52706546690797</v>
      </c>
      <c r="F4">
        <v>0.974737808862844</v>
      </c>
      <c r="G4" s="3">
        <v>3.6608431896063549</v>
      </c>
      <c r="H4" s="3">
        <v>7.2633333333333328</v>
      </c>
      <c r="I4" s="3">
        <f t="shared" si="0"/>
        <v>6.1192593317479549</v>
      </c>
      <c r="J4">
        <v>0.58508223023846695</v>
      </c>
      <c r="K4">
        <v>0.10151522488188899</v>
      </c>
      <c r="L4">
        <v>-0.208391965941505</v>
      </c>
      <c r="M4">
        <v>0.52340991305531004</v>
      </c>
      <c r="N4">
        <v>2.5000000000000001E-2</v>
      </c>
      <c r="O4">
        <v>2.7707802396349401</v>
      </c>
      <c r="P4">
        <v>1.1641344370262201</v>
      </c>
      <c r="Q4">
        <v>8.9585868524862302E-3</v>
      </c>
      <c r="R4">
        <v>0</v>
      </c>
      <c r="S4">
        <v>0.92448914113166103</v>
      </c>
      <c r="T4">
        <v>0.68659745512035597</v>
      </c>
    </row>
    <row r="5" spans="1:29" x14ac:dyDescent="0.35">
      <c r="A5" s="1">
        <v>39356</v>
      </c>
      <c r="B5">
        <v>2.6173670611530002</v>
      </c>
      <c r="C5">
        <v>2.4654667138162298</v>
      </c>
      <c r="D5">
        <v>0.33806985640833198</v>
      </c>
      <c r="E5">
        <v>1.2312848252456701</v>
      </c>
      <c r="F5">
        <v>0.92347155359973199</v>
      </c>
      <c r="G5" s="3">
        <v>4.1560008273135329</v>
      </c>
      <c r="H5" s="3">
        <v>7.4333333333333336</v>
      </c>
      <c r="I5" s="3">
        <f t="shared" si="0"/>
        <v>6.7733678884665327</v>
      </c>
    </row>
    <row r="6" spans="1:29" x14ac:dyDescent="0.35">
      <c r="A6" s="1">
        <v>39448</v>
      </c>
      <c r="B6">
        <v>2.5177055372756398</v>
      </c>
      <c r="C6">
        <v>2.3905151510709399</v>
      </c>
      <c r="D6">
        <v>0.30770023839984301</v>
      </c>
      <c r="E6">
        <v>0.54903265383222799</v>
      </c>
      <c r="F6">
        <v>1.04733029326603</v>
      </c>
      <c r="G6" s="3">
        <v>4.9501587922693657</v>
      </c>
      <c r="H6" s="3">
        <v>7.5066666666666668</v>
      </c>
      <c r="I6" s="3">
        <f t="shared" si="0"/>
        <v>7.4678643295450051</v>
      </c>
      <c r="S6" s="2" t="s">
        <v>32</v>
      </c>
      <c r="T6" s="2"/>
    </row>
    <row r="7" spans="1:29" x14ac:dyDescent="0.35">
      <c r="A7" s="1">
        <v>39539</v>
      </c>
      <c r="B7">
        <v>2.68056385338704</v>
      </c>
      <c r="C7">
        <v>2.40751636793591</v>
      </c>
      <c r="D7">
        <v>0.454841114133547</v>
      </c>
      <c r="E7">
        <v>0.65748916600386997</v>
      </c>
      <c r="F7">
        <v>0.29108569478583401</v>
      </c>
      <c r="G7" s="3">
        <v>5.4797323314526034</v>
      </c>
      <c r="H7" s="3">
        <v>7.5333333333333341</v>
      </c>
      <c r="I7" s="3">
        <f t="shared" si="0"/>
        <v>8.1602961848396429</v>
      </c>
      <c r="S7" s="2" t="s">
        <v>33</v>
      </c>
      <c r="T7" s="2">
        <f>CORREL(B:B,G:G)</f>
        <v>0.62781560260556513</v>
      </c>
    </row>
    <row r="8" spans="1:29" x14ac:dyDescent="0.35">
      <c r="A8" s="1">
        <v>39630</v>
      </c>
      <c r="B8">
        <v>2.7153998077992001</v>
      </c>
      <c r="C8">
        <v>2.3923947438966402</v>
      </c>
      <c r="D8">
        <v>0.50365684576629899</v>
      </c>
      <c r="E8">
        <v>0.41804241740555897</v>
      </c>
      <c r="F8">
        <v>0.34135409322513099</v>
      </c>
      <c r="G8" s="3">
        <v>5.4937591115338247</v>
      </c>
      <c r="H8" s="3">
        <v>8.0766666666666662</v>
      </c>
      <c r="I8" s="3">
        <f t="shared" si="0"/>
        <v>8.2091589193330243</v>
      </c>
      <c r="S8" s="2" t="s">
        <v>34</v>
      </c>
      <c r="T8" s="2">
        <f>CORREL(B:B,H:H)</f>
        <v>0.64485457719192307</v>
      </c>
    </row>
    <row r="9" spans="1:29" x14ac:dyDescent="0.35">
      <c r="A9" s="1">
        <v>39722</v>
      </c>
      <c r="B9">
        <v>1.96666235901338</v>
      </c>
      <c r="C9">
        <v>2.1439916719265701</v>
      </c>
      <c r="D9">
        <v>-1.54346603594406E-2</v>
      </c>
      <c r="E9">
        <v>-1.2660480037811801</v>
      </c>
      <c r="F9">
        <v>0.93907425821559298</v>
      </c>
      <c r="G9" s="3">
        <v>5.3670875063546184</v>
      </c>
      <c r="H9" s="3">
        <v>8.22842105263158</v>
      </c>
      <c r="I9" s="3">
        <f t="shared" si="0"/>
        <v>7.3337498653679987</v>
      </c>
      <c r="S9" s="2" t="s">
        <v>35</v>
      </c>
      <c r="T9" s="2">
        <f>CORREL(H:H,I:I)</f>
        <v>0.64801532851777099</v>
      </c>
    </row>
    <row r="10" spans="1:29" x14ac:dyDescent="0.35">
      <c r="A10" s="1">
        <v>39814</v>
      </c>
      <c r="B10">
        <v>-0.22358990589564001</v>
      </c>
      <c r="C10">
        <v>1.4621089356756101</v>
      </c>
      <c r="D10">
        <v>-1.5752937400793099</v>
      </c>
      <c r="E10">
        <v>-5.3444246095055004</v>
      </c>
      <c r="F10">
        <v>2.2613115710454101</v>
      </c>
      <c r="G10" s="3">
        <v>5.9984268631781523</v>
      </c>
      <c r="H10" s="3">
        <v>7.6224731182795704</v>
      </c>
      <c r="I10" s="3">
        <f t="shared" si="0"/>
        <v>5.7748369572825125</v>
      </c>
    </row>
    <row r="11" spans="1:29" x14ac:dyDescent="0.35">
      <c r="A11" s="1">
        <v>39904</v>
      </c>
      <c r="B11">
        <v>-1.55322900477828</v>
      </c>
      <c r="C11">
        <v>1.1644550435979</v>
      </c>
      <c r="D11">
        <v>-2.6297550479205301</v>
      </c>
      <c r="E11">
        <v>-6.4043583867523903</v>
      </c>
      <c r="F11">
        <v>1.8536969746513801</v>
      </c>
      <c r="G11" s="3">
        <v>4.652897192632488</v>
      </c>
      <c r="H11" s="3">
        <v>5.6785106382978716</v>
      </c>
      <c r="I11" s="3">
        <f t="shared" si="0"/>
        <v>3.0996681878542081</v>
      </c>
    </row>
    <row r="12" spans="1:29" x14ac:dyDescent="0.35">
      <c r="A12" s="1">
        <v>39995</v>
      </c>
      <c r="B12">
        <v>-1.2465804218971099</v>
      </c>
      <c r="C12">
        <v>1.3646577475971799</v>
      </c>
      <c r="D12">
        <v>-2.5081916909119002</v>
      </c>
      <c r="E12">
        <v>-4.0406162859862897</v>
      </c>
      <c r="F12">
        <v>0.99783174482793702</v>
      </c>
      <c r="G12" s="3">
        <v>3.1513199882166938</v>
      </c>
      <c r="H12" s="3">
        <v>4.5436842105263153</v>
      </c>
      <c r="I12" s="3">
        <f t="shared" si="0"/>
        <v>1.9047395663195839</v>
      </c>
    </row>
    <row r="13" spans="1:29" x14ac:dyDescent="0.35">
      <c r="A13" s="1">
        <v>40087</v>
      </c>
      <c r="B13">
        <v>-1.0955148469151801</v>
      </c>
      <c r="C13">
        <v>1.43539537150985</v>
      </c>
      <c r="D13">
        <v>-2.42252228110668</v>
      </c>
      <c r="E13">
        <v>-2.9682016203514601</v>
      </c>
      <c r="F13">
        <v>1.24577018729883</v>
      </c>
      <c r="G13" s="3">
        <v>3.6043345944380518</v>
      </c>
      <c r="H13" s="3">
        <v>4.5019999999999998</v>
      </c>
      <c r="I13" s="3">
        <f t="shared" si="0"/>
        <v>2.508819747522872</v>
      </c>
    </row>
    <row r="14" spans="1:29" x14ac:dyDescent="0.35">
      <c r="A14" s="1">
        <v>40179</v>
      </c>
      <c r="B14">
        <v>-0.76651375348658701</v>
      </c>
      <c r="C14">
        <v>1.3406895159128001</v>
      </c>
      <c r="D14">
        <v>-2.0059666525770301</v>
      </c>
      <c r="E14">
        <v>-1.9436624508846301</v>
      </c>
      <c r="F14">
        <v>0.87591773181157495</v>
      </c>
      <c r="G14" s="3">
        <v>6.1658753221655038</v>
      </c>
      <c r="H14" s="3">
        <v>4.503010752688172</v>
      </c>
      <c r="I14" s="3">
        <f t="shared" si="0"/>
        <v>5.3993615686789171</v>
      </c>
    </row>
    <row r="15" spans="1:29" x14ac:dyDescent="0.35">
      <c r="A15" s="1">
        <v>40269</v>
      </c>
      <c r="B15">
        <v>-0.98745380419613504</v>
      </c>
      <c r="C15">
        <v>1.47605998167583</v>
      </c>
      <c r="D15">
        <v>-2.3520552289144399</v>
      </c>
      <c r="E15">
        <v>-1.70539197331254</v>
      </c>
      <c r="F15">
        <v>1.57218068185042</v>
      </c>
      <c r="G15" s="3">
        <v>2.7519030100945141</v>
      </c>
      <c r="H15" s="3">
        <v>4.5030851063829793</v>
      </c>
      <c r="I15" s="3">
        <f t="shared" si="0"/>
        <v>1.7644492058983792</v>
      </c>
    </row>
    <row r="16" spans="1:29" x14ac:dyDescent="0.35">
      <c r="A16" s="1">
        <v>40360</v>
      </c>
      <c r="B16">
        <v>-1.0677418567344299</v>
      </c>
      <c r="C16">
        <v>1.55808354928842</v>
      </c>
      <c r="D16">
        <v>-2.5081731790274402</v>
      </c>
      <c r="E16">
        <v>-1.4549614793513701</v>
      </c>
      <c r="F16">
        <v>1.8674743130562701</v>
      </c>
      <c r="G16" s="3">
        <v>2.2903256690671951</v>
      </c>
      <c r="H16" s="3">
        <v>4.5028421052631584</v>
      </c>
      <c r="I16" s="3">
        <f t="shared" si="0"/>
        <v>1.2225838123327653</v>
      </c>
    </row>
    <row r="17" spans="1:18" x14ac:dyDescent="0.35">
      <c r="A17" s="1">
        <v>40452</v>
      </c>
      <c r="B17">
        <v>-0.96396623694546202</v>
      </c>
      <c r="C17">
        <v>1.58060596254911</v>
      </c>
      <c r="D17">
        <v>-2.4252192857300701</v>
      </c>
      <c r="E17">
        <v>-1.1737255545651799</v>
      </c>
      <c r="F17">
        <v>1.8863647580340399</v>
      </c>
      <c r="G17" s="3">
        <v>3.1103019143184918</v>
      </c>
      <c r="H17" s="3">
        <v>4.5019999999999998</v>
      </c>
      <c r="I17" s="3">
        <f t="shared" si="0"/>
        <v>2.1463356773730298</v>
      </c>
    </row>
    <row r="18" spans="1:18" x14ac:dyDescent="0.35">
      <c r="A18" s="1">
        <v>40544</v>
      </c>
      <c r="B18">
        <v>-0.48401227588725798</v>
      </c>
      <c r="C18">
        <v>1.52839191323431</v>
      </c>
      <c r="D18">
        <v>-1.8969940030658301</v>
      </c>
      <c r="E18">
        <v>-0.56906561940490996</v>
      </c>
      <c r="F18">
        <v>1.7267901817642299</v>
      </c>
      <c r="G18" s="3">
        <v>4.8789384281731962</v>
      </c>
      <c r="H18" s="3">
        <v>4.5006451612903229</v>
      </c>
      <c r="I18" s="3">
        <f t="shared" si="0"/>
        <v>4.3949261522859384</v>
      </c>
    </row>
    <row r="19" spans="1:18" x14ac:dyDescent="0.35">
      <c r="A19" s="1">
        <v>40634</v>
      </c>
      <c r="B19">
        <v>-0.74085713284936405</v>
      </c>
      <c r="C19">
        <v>1.6184381262926699</v>
      </c>
      <c r="D19">
        <v>-2.2370856062004099</v>
      </c>
      <c r="E19">
        <v>-0.85236695607090995</v>
      </c>
      <c r="F19">
        <v>2.0677827991259701</v>
      </c>
      <c r="G19" s="3">
        <v>2.4110291956751069</v>
      </c>
      <c r="H19" s="3">
        <v>4.4995744680851057</v>
      </c>
      <c r="I19" s="3">
        <f t="shared" si="0"/>
        <v>1.6701720628257428</v>
      </c>
    </row>
    <row r="20" spans="1:18" x14ac:dyDescent="0.35">
      <c r="A20" s="1">
        <v>40725</v>
      </c>
      <c r="B20">
        <v>-0.35965438643596598</v>
      </c>
      <c r="C20">
        <v>1.7304103940157201</v>
      </c>
      <c r="D20">
        <v>-1.9594000054048599</v>
      </c>
      <c r="E20">
        <v>0.114290798906495</v>
      </c>
      <c r="F20">
        <v>1.67448161173704</v>
      </c>
      <c r="G20" s="3">
        <v>2.3311584027341898</v>
      </c>
      <c r="H20" s="3">
        <v>4.4976842105263151</v>
      </c>
      <c r="I20" s="3">
        <f t="shared" si="0"/>
        <v>1.9715040162982238</v>
      </c>
      <c r="J20" t="s">
        <v>22</v>
      </c>
      <c r="N20" t="s">
        <v>23</v>
      </c>
    </row>
    <row r="21" spans="1:18" x14ac:dyDescent="0.35">
      <c r="A21" s="1">
        <v>40817</v>
      </c>
      <c r="B21">
        <v>6.8426123760232604E-2</v>
      </c>
      <c r="C21">
        <v>1.7327942852293501</v>
      </c>
      <c r="D21">
        <v>-1.5335233767492999</v>
      </c>
      <c r="E21">
        <v>0.32021920082070199</v>
      </c>
      <c r="F21">
        <v>1.14652345855349</v>
      </c>
      <c r="G21" s="3">
        <v>3.5098124862678941</v>
      </c>
      <c r="H21" s="3">
        <v>4.4976842105263151</v>
      </c>
      <c r="I21" s="3">
        <f t="shared" si="0"/>
        <v>3.5782386100281265</v>
      </c>
      <c r="J21" t="s">
        <v>24</v>
      </c>
      <c r="K21">
        <v>0.31530030984214602</v>
      </c>
      <c r="N21">
        <v>-265.16671329233901</v>
      </c>
    </row>
    <row r="22" spans="1:18" x14ac:dyDescent="0.35">
      <c r="A22" s="1">
        <v>40909</v>
      </c>
      <c r="B22">
        <v>0.84313248056566104</v>
      </c>
      <c r="C22">
        <v>1.6646631838649799</v>
      </c>
      <c r="D22">
        <v>-0.69583055655916803</v>
      </c>
      <c r="E22">
        <v>0.92061936343429795</v>
      </c>
      <c r="F22">
        <v>0.30096063526258499</v>
      </c>
      <c r="G22" s="3">
        <v>5.1707672369560642</v>
      </c>
      <c r="H22" s="3">
        <v>4.4997849462365593</v>
      </c>
      <c r="I22" s="3">
        <f t="shared" si="0"/>
        <v>6.013899717521725</v>
      </c>
      <c r="J22" t="s">
        <v>25</v>
      </c>
      <c r="K22">
        <v>0.13093774554263601</v>
      </c>
    </row>
    <row r="23" spans="1:18" x14ac:dyDescent="0.35">
      <c r="A23" s="1">
        <v>41000</v>
      </c>
      <c r="B23">
        <v>0.68510145152157798</v>
      </c>
      <c r="C23">
        <v>1.7634032748720501</v>
      </c>
      <c r="D23">
        <v>-0.94514572753364201</v>
      </c>
      <c r="E23">
        <v>0.81715769468814903</v>
      </c>
      <c r="F23">
        <v>0.34614875362442499</v>
      </c>
      <c r="G23" s="3">
        <v>2.8624008384040782</v>
      </c>
      <c r="H23" s="3">
        <v>4.4997849462365593</v>
      </c>
      <c r="I23" s="3">
        <f t="shared" si="0"/>
        <v>3.5475022899256561</v>
      </c>
    </row>
    <row r="24" spans="1:18" x14ac:dyDescent="0.35">
      <c r="A24" s="1">
        <v>41091</v>
      </c>
      <c r="B24">
        <v>0.74933359979780301</v>
      </c>
      <c r="C24">
        <v>1.7943034166363001</v>
      </c>
      <c r="D24">
        <v>-0.90948042477789504</v>
      </c>
      <c r="E24">
        <v>0.72663993490323298</v>
      </c>
      <c r="F24">
        <v>0.100882635705372</v>
      </c>
      <c r="G24" s="3">
        <v>3.0548913384645271</v>
      </c>
      <c r="H24" s="3">
        <v>4.4996842105263157</v>
      </c>
      <c r="I24" s="3">
        <f t="shared" si="0"/>
        <v>3.8042249382623301</v>
      </c>
    </row>
    <row r="25" spans="1:18" x14ac:dyDescent="0.35">
      <c r="A25" s="1">
        <v>41183</v>
      </c>
      <c r="B25">
        <v>0.37268717436186799</v>
      </c>
      <c r="C25">
        <v>1.8993152670725499</v>
      </c>
      <c r="D25">
        <v>-1.38320916563229</v>
      </c>
      <c r="E25">
        <v>0.48228354028583498</v>
      </c>
      <c r="F25">
        <v>0.85437497167055299</v>
      </c>
      <c r="G25" s="3">
        <v>2.0041130546772261</v>
      </c>
      <c r="H25" s="3">
        <v>4.5001052631578951</v>
      </c>
      <c r="I25" s="3">
        <f t="shared" si="0"/>
        <v>2.3768002290390942</v>
      </c>
      <c r="J25" t="s">
        <v>26</v>
      </c>
    </row>
    <row r="26" spans="1:18" x14ac:dyDescent="0.35">
      <c r="A26" s="1">
        <v>41275</v>
      </c>
      <c r="B26">
        <v>0.86414070748470895</v>
      </c>
      <c r="C26">
        <v>1.8450396091421</v>
      </c>
      <c r="D26">
        <v>-0.841578376124968</v>
      </c>
      <c r="E26">
        <v>0.61743935439540099</v>
      </c>
      <c r="F26">
        <v>0.54876023833235699</v>
      </c>
      <c r="G26" s="3">
        <v>3.8949479744332161</v>
      </c>
      <c r="H26" s="3">
        <v>4.3669892473118281</v>
      </c>
      <c r="I26" s="3">
        <f t="shared" si="0"/>
        <v>4.759088681917925</v>
      </c>
      <c r="J26" t="s">
        <v>27</v>
      </c>
    </row>
    <row r="27" spans="1:18" x14ac:dyDescent="0.35">
      <c r="A27" s="1">
        <v>41365</v>
      </c>
      <c r="B27">
        <v>0.29775476980770199</v>
      </c>
      <c r="C27">
        <v>1.86184723161931</v>
      </c>
      <c r="D27">
        <v>-1.4235027782703999</v>
      </c>
      <c r="E27">
        <v>-0.48883621393224502</v>
      </c>
      <c r="F27">
        <v>0.83123286200587598</v>
      </c>
      <c r="G27" s="3">
        <v>2.5326502966600768</v>
      </c>
      <c r="H27" s="3">
        <v>4.0006382978723396</v>
      </c>
      <c r="I27" s="3">
        <f t="shared" si="0"/>
        <v>2.8304050664677787</v>
      </c>
      <c r="J27">
        <v>1648.23269724845</v>
      </c>
      <c r="K27">
        <v>1647.7805072823301</v>
      </c>
      <c r="L27">
        <v>1647.32843630548</v>
      </c>
      <c r="M27">
        <v>0.45218996611993101</v>
      </c>
      <c r="N27">
        <v>0.452070976851005</v>
      </c>
      <c r="O27">
        <v>0.45203611539719202</v>
      </c>
      <c r="P27">
        <v>0</v>
      </c>
      <c r="Q27">
        <v>0</v>
      </c>
      <c r="R27">
        <v>0</v>
      </c>
    </row>
    <row r="28" spans="1:18" x14ac:dyDescent="0.35">
      <c r="A28" s="1">
        <v>41456</v>
      </c>
      <c r="B28">
        <v>-0.23093143486800599</v>
      </c>
      <c r="C28">
        <v>1.9470046771962299</v>
      </c>
      <c r="D28">
        <v>-2.0309161166684802</v>
      </c>
      <c r="E28">
        <v>-0.68330733217794704</v>
      </c>
      <c r="F28">
        <v>1.7033343369170999</v>
      </c>
      <c r="G28" s="3">
        <v>1.408782329191016</v>
      </c>
      <c r="H28" s="3">
        <v>3.932526315789473</v>
      </c>
      <c r="I28" s="3">
        <f t="shared" si="0"/>
        <v>1.1778508943230099</v>
      </c>
    </row>
    <row r="29" spans="1:18" x14ac:dyDescent="0.35">
      <c r="A29" s="1">
        <v>41548</v>
      </c>
      <c r="B29">
        <v>9.9165153664872996E-2</v>
      </c>
      <c r="C29">
        <v>1.9265948392733301</v>
      </c>
      <c r="D29">
        <v>-1.6819508546036199</v>
      </c>
      <c r="E29">
        <v>-0.43192501955513801</v>
      </c>
      <c r="F29">
        <v>0.865131199540491</v>
      </c>
      <c r="G29" s="3">
        <v>2.576328723736343</v>
      </c>
      <c r="H29" s="3">
        <v>3.567473684210527</v>
      </c>
      <c r="I29" s="3">
        <f t="shared" si="0"/>
        <v>2.675493877401216</v>
      </c>
      <c r="J29" t="s">
        <v>28</v>
      </c>
    </row>
    <row r="30" spans="1:18" x14ac:dyDescent="0.35">
      <c r="A30" s="1">
        <v>41640</v>
      </c>
      <c r="B30">
        <v>1.7843800718593901</v>
      </c>
      <c r="C30">
        <v>1.7674552616331101</v>
      </c>
      <c r="D30">
        <v>0.15038687504356499</v>
      </c>
      <c r="E30">
        <v>0.96835101485771702</v>
      </c>
      <c r="F30">
        <v>-1.3206951913178999</v>
      </c>
      <c r="G30" s="3">
        <v>5.6287894508272318</v>
      </c>
      <c r="H30" s="3">
        <v>3.500322580645161</v>
      </c>
      <c r="I30" s="3">
        <f t="shared" si="0"/>
        <v>7.4131695226866219</v>
      </c>
      <c r="J30">
        <v>0.40000254462422002</v>
      </c>
      <c r="K30">
        <v>0.2</v>
      </c>
      <c r="L30">
        <v>0</v>
      </c>
      <c r="M30">
        <v>0.2</v>
      </c>
      <c r="N30">
        <v>0.2</v>
      </c>
      <c r="O30">
        <v>0</v>
      </c>
      <c r="P30">
        <v>0</v>
      </c>
      <c r="Q30">
        <v>0</v>
      </c>
      <c r="R30">
        <v>0</v>
      </c>
    </row>
    <row r="31" spans="1:18" x14ac:dyDescent="0.35">
      <c r="A31" s="1">
        <v>41730</v>
      </c>
      <c r="B31">
        <v>1.3219051486072899</v>
      </c>
      <c r="C31">
        <v>1.8733719689374599</v>
      </c>
      <c r="D31">
        <v>-0.41000689397583101</v>
      </c>
      <c r="E31">
        <v>1.01639349826587</v>
      </c>
      <c r="F31">
        <v>-1.0224455255295599</v>
      </c>
      <c r="G31" s="3">
        <v>2.6440056847855549</v>
      </c>
      <c r="H31" s="3">
        <v>3.3639361702127659</v>
      </c>
      <c r="I31" s="3">
        <f t="shared" si="0"/>
        <v>3.9659108333928446</v>
      </c>
      <c r="J31">
        <v>0.2</v>
      </c>
      <c r="K31">
        <v>0.2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 s="1">
        <v>41821</v>
      </c>
      <c r="B32">
        <v>1.0199417898147201</v>
      </c>
      <c r="C32">
        <v>1.9021689055076201</v>
      </c>
      <c r="D32">
        <v>-0.73859270792536802</v>
      </c>
      <c r="E32">
        <v>0.56400091374143801</v>
      </c>
      <c r="F32">
        <v>-1.3346006692582399</v>
      </c>
      <c r="G32" s="3">
        <v>2.413341445658967</v>
      </c>
      <c r="H32" s="3">
        <v>3.0009574468085098</v>
      </c>
      <c r="I32" s="3">
        <f t="shared" si="0"/>
        <v>3.4332832354736871</v>
      </c>
      <c r="J32">
        <v>0</v>
      </c>
      <c r="K32">
        <v>0</v>
      </c>
      <c r="L32">
        <v>0.2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5">
      <c r="A33" s="1">
        <v>41913</v>
      </c>
      <c r="B33">
        <v>0.885029030977597</v>
      </c>
      <c r="C33">
        <v>1.94704282006679</v>
      </c>
      <c r="D33">
        <v>-0.91499091349252004</v>
      </c>
      <c r="E33">
        <v>0.82889581314975702</v>
      </c>
      <c r="F33">
        <v>-1.1783375339094899</v>
      </c>
      <c r="G33" s="3">
        <v>2.4942553251926509</v>
      </c>
      <c r="H33" s="3">
        <v>3.001789473684211</v>
      </c>
      <c r="I33" s="3">
        <f t="shared" si="0"/>
        <v>3.3792843561702481</v>
      </c>
      <c r="J33">
        <v>0.2</v>
      </c>
      <c r="K33">
        <v>0</v>
      </c>
      <c r="L33">
        <v>0</v>
      </c>
      <c r="M33">
        <v>0.200000252971998</v>
      </c>
      <c r="N33">
        <v>0.2</v>
      </c>
      <c r="O33">
        <v>0</v>
      </c>
      <c r="P33">
        <v>0</v>
      </c>
      <c r="Q33">
        <v>0</v>
      </c>
      <c r="R33">
        <v>0</v>
      </c>
    </row>
    <row r="34" spans="1:18" x14ac:dyDescent="0.35">
      <c r="A34" s="1">
        <v>42005</v>
      </c>
      <c r="B34">
        <v>0.28245752525393802</v>
      </c>
      <c r="C34">
        <v>2.00953626624589</v>
      </c>
      <c r="D34">
        <v>-1.57533693160065</v>
      </c>
      <c r="E34">
        <v>0.36190181168581098</v>
      </c>
      <c r="F34">
        <v>0.337194286060429</v>
      </c>
      <c r="G34" s="3">
        <v>1.977102127062347</v>
      </c>
      <c r="H34" s="3">
        <v>3.001827956989247</v>
      </c>
      <c r="I34" s="3">
        <f t="shared" si="0"/>
        <v>2.2595596523162849</v>
      </c>
      <c r="J34">
        <v>0.2</v>
      </c>
      <c r="K34">
        <v>0</v>
      </c>
      <c r="L34">
        <v>0</v>
      </c>
      <c r="M34">
        <v>0.2</v>
      </c>
      <c r="N34">
        <v>0.2</v>
      </c>
      <c r="O34">
        <v>0</v>
      </c>
      <c r="P34">
        <v>0</v>
      </c>
      <c r="Q34">
        <v>0</v>
      </c>
      <c r="R34">
        <v>0</v>
      </c>
    </row>
    <row r="35" spans="1:18" x14ac:dyDescent="0.35">
      <c r="A35" s="1">
        <v>42095</v>
      </c>
      <c r="B35">
        <v>0.61760648897310799</v>
      </c>
      <c r="C35">
        <v>2.0216711354546302</v>
      </c>
      <c r="D35">
        <v>-1.2514065226940101</v>
      </c>
      <c r="E35">
        <v>0.961606072532732</v>
      </c>
      <c r="F35">
        <v>5.9972509468347E-2</v>
      </c>
      <c r="G35" s="3">
        <v>2.4117936189585132</v>
      </c>
      <c r="H35" s="3">
        <v>3.0017021276595748</v>
      </c>
      <c r="I35" s="3">
        <f t="shared" si="0"/>
        <v>3.0294001079316213</v>
      </c>
      <c r="J35">
        <v>0</v>
      </c>
      <c r="K35">
        <v>0</v>
      </c>
      <c r="L35">
        <v>0</v>
      </c>
      <c r="M35">
        <v>0</v>
      </c>
      <c r="N35">
        <v>0</v>
      </c>
      <c r="O35">
        <v>0.2</v>
      </c>
      <c r="P35">
        <v>0</v>
      </c>
      <c r="Q35">
        <v>0</v>
      </c>
      <c r="R35">
        <v>0</v>
      </c>
    </row>
    <row r="36" spans="1:18" x14ac:dyDescent="0.35">
      <c r="A36" s="1">
        <v>42186</v>
      </c>
      <c r="B36">
        <v>0.96278604326443296</v>
      </c>
      <c r="C36">
        <v>2.0446767936286601</v>
      </c>
      <c r="D36">
        <v>-0.92749544956916696</v>
      </c>
      <c r="E36">
        <v>1.41493482904957</v>
      </c>
      <c r="F36">
        <v>-0.29452689381383701</v>
      </c>
      <c r="G36" s="3">
        <v>2.454338646773579</v>
      </c>
      <c r="H36" s="3">
        <v>3.0026315789473679</v>
      </c>
      <c r="I36" s="3">
        <f t="shared" si="0"/>
        <v>3.4171246900380119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2.5127320462678102</v>
      </c>
      <c r="Q36">
        <v>0.2</v>
      </c>
      <c r="R36">
        <v>0</v>
      </c>
    </row>
    <row r="37" spans="1:18" x14ac:dyDescent="0.35">
      <c r="A37" s="1">
        <v>42278</v>
      </c>
      <c r="B37">
        <v>1.1475946483649899</v>
      </c>
      <c r="C37">
        <v>2.0153526489306199</v>
      </c>
      <c r="D37">
        <v>-0.715576991122303</v>
      </c>
      <c r="E37">
        <v>0.94936015135977003</v>
      </c>
      <c r="F37">
        <v>-0.51709506969333696</v>
      </c>
      <c r="G37" s="3">
        <v>2.8073988714663272</v>
      </c>
      <c r="H37" s="3">
        <v>3.0431578947368418</v>
      </c>
      <c r="I37" s="3">
        <f t="shared" si="0"/>
        <v>3.9549935198313171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0.2</v>
      </c>
      <c r="Q37">
        <v>0.2</v>
      </c>
      <c r="R37">
        <v>0</v>
      </c>
    </row>
    <row r="38" spans="1:18" x14ac:dyDescent="0.35">
      <c r="A38" s="1">
        <v>42370</v>
      </c>
      <c r="B38">
        <v>1.5833349599889099</v>
      </c>
      <c r="C38">
        <v>1.98979588706071</v>
      </c>
      <c r="D38">
        <v>-0.25620973066715702</v>
      </c>
      <c r="E38">
        <v>1.26944437251359</v>
      </c>
      <c r="F38">
        <v>-0.79017194426642401</v>
      </c>
      <c r="G38" s="3">
        <v>3.124455097783962</v>
      </c>
      <c r="H38" s="3">
        <v>3.4926595744680848</v>
      </c>
      <c r="I38" s="3">
        <f t="shared" si="0"/>
        <v>4.707790057772872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0.2</v>
      </c>
    </row>
    <row r="39" spans="1:18" x14ac:dyDescent="0.35">
      <c r="A39" s="1">
        <v>42461</v>
      </c>
      <c r="B39">
        <v>1.89701475400389</v>
      </c>
      <c r="C39">
        <v>1.97278589831833</v>
      </c>
      <c r="D39">
        <v>7.3195613230929601E-2</v>
      </c>
      <c r="E39">
        <v>1.37078618999476</v>
      </c>
      <c r="F39">
        <v>-1.05158920205083</v>
      </c>
      <c r="G39" s="3">
        <v>3.2597647506319438</v>
      </c>
      <c r="H39" s="3">
        <v>3.7569148936170209</v>
      </c>
      <c r="I39" s="3">
        <f t="shared" si="0"/>
        <v>5.1567795046358338</v>
      </c>
    </row>
    <row r="40" spans="1:18" x14ac:dyDescent="0.35">
      <c r="A40" s="1">
        <v>42552</v>
      </c>
      <c r="B40">
        <v>1.8781243336687501</v>
      </c>
      <c r="C40">
        <v>2.0016353044760802</v>
      </c>
      <c r="D40">
        <v>2.7634230174851698E-2</v>
      </c>
      <c r="E40">
        <v>1.4970750501201999</v>
      </c>
      <c r="F40">
        <v>-0.616442325445129</v>
      </c>
      <c r="G40" s="3">
        <v>2.8092321945916821</v>
      </c>
      <c r="H40" s="3">
        <v>4.2618947368421054</v>
      </c>
      <c r="I40" s="3">
        <f t="shared" si="0"/>
        <v>4.6873565282604321</v>
      </c>
    </row>
    <row r="41" spans="1:18" x14ac:dyDescent="0.35">
      <c r="A41" s="1">
        <v>42644</v>
      </c>
      <c r="B41">
        <v>2.8773564515574699</v>
      </c>
      <c r="C41">
        <v>1.97230588822141</v>
      </c>
      <c r="D41">
        <v>1.05398107490674</v>
      </c>
      <c r="E41">
        <v>2.4723606605400601</v>
      </c>
      <c r="F41">
        <v>-1.0648097528020799</v>
      </c>
      <c r="G41" s="3">
        <v>3.9075190567076978</v>
      </c>
      <c r="H41" s="3">
        <v>5.08778947368421</v>
      </c>
      <c r="I41" s="3">
        <f t="shared" si="0"/>
        <v>6.7848755082651682</v>
      </c>
    </row>
    <row r="42" spans="1:18" x14ac:dyDescent="0.35">
      <c r="A42" s="1">
        <v>42736</v>
      </c>
      <c r="B42">
        <v>5.5379964897527696</v>
      </c>
      <c r="C42">
        <v>1.80521052802968</v>
      </c>
      <c r="D42">
        <v>3.86909895913278</v>
      </c>
      <c r="E42">
        <v>4.2047455570937</v>
      </c>
      <c r="F42">
        <v>-3.6938441405189</v>
      </c>
      <c r="G42" s="3">
        <v>6.8064444936063229</v>
      </c>
      <c r="H42" s="3">
        <v>6.0398924731182797</v>
      </c>
      <c r="I42" s="3">
        <f t="shared" si="0"/>
        <v>12.344440983359092</v>
      </c>
    </row>
    <row r="43" spans="1:18" x14ac:dyDescent="0.35">
      <c r="A43" s="1">
        <v>42826</v>
      </c>
      <c r="B43">
        <v>5.9430768251196904</v>
      </c>
      <c r="C43">
        <v>1.7941955270964101</v>
      </c>
      <c r="D43">
        <v>4.28436254325206</v>
      </c>
      <c r="E43">
        <v>4.1927887923097797</v>
      </c>
      <c r="F43">
        <v>-4.0802818757016102</v>
      </c>
      <c r="G43" s="3">
        <v>5.6132840318900312</v>
      </c>
      <c r="H43" s="3">
        <v>6.646914893617021</v>
      </c>
      <c r="I43" s="3">
        <f t="shared" si="0"/>
        <v>11.556360857009722</v>
      </c>
    </row>
    <row r="44" spans="1:18" x14ac:dyDescent="0.35">
      <c r="A44" s="1">
        <v>42917</v>
      </c>
      <c r="B44">
        <v>4.3313220656430103</v>
      </c>
      <c r="C44">
        <v>1.8869833624621299</v>
      </c>
      <c r="D44">
        <v>2.58682643755066</v>
      </c>
      <c r="E44">
        <v>2.3135680170867099</v>
      </c>
      <c r="F44">
        <v>-2.2473785571459302</v>
      </c>
      <c r="G44" s="3">
        <v>3.3432941732813188</v>
      </c>
      <c r="H44" s="3">
        <v>7.0015789473684196</v>
      </c>
      <c r="I44" s="3">
        <f t="shared" si="0"/>
        <v>7.6746162389243295</v>
      </c>
    </row>
    <row r="45" spans="1:18" x14ac:dyDescent="0.35">
      <c r="A45" s="1">
        <v>43009</v>
      </c>
      <c r="B45">
        <v>3.9991834701431701</v>
      </c>
      <c r="C45">
        <v>1.9528225531386301</v>
      </c>
      <c r="D45">
        <v>2.1938202252095</v>
      </c>
      <c r="E45">
        <v>2.55072784414119</v>
      </c>
      <c r="F45">
        <v>-1.7909490594481601</v>
      </c>
      <c r="G45" s="3">
        <v>3.6057238689686022</v>
      </c>
      <c r="H45" s="3">
        <v>7.0504210526315783</v>
      </c>
      <c r="I45" s="3">
        <f t="shared" si="0"/>
        <v>7.6049073391117723</v>
      </c>
    </row>
    <row r="46" spans="1:18" x14ac:dyDescent="0.35">
      <c r="A46" s="1">
        <v>43101</v>
      </c>
      <c r="B46">
        <v>4.39907580308852</v>
      </c>
      <c r="C46">
        <v>1.97120509891236</v>
      </c>
      <c r="D46">
        <v>2.5767180942006802</v>
      </c>
      <c r="E46">
        <v>2.9859278507876801</v>
      </c>
      <c r="F46">
        <v>-1.27626673426534</v>
      </c>
      <c r="G46" s="3">
        <v>4.5314078871264929</v>
      </c>
      <c r="H46" s="3">
        <v>7.3962365591397852</v>
      </c>
      <c r="I46" s="3">
        <f t="shared" si="0"/>
        <v>8.9304836902150129</v>
      </c>
    </row>
    <row r="47" spans="1:18" x14ac:dyDescent="0.35">
      <c r="A47" s="1">
        <v>43191</v>
      </c>
      <c r="B47">
        <v>3.3381078960906998</v>
      </c>
      <c r="C47">
        <v>2.04093982850338</v>
      </c>
      <c r="D47">
        <v>1.4512811869362101</v>
      </c>
      <c r="E47">
        <v>1.60623518934881</v>
      </c>
      <c r="F47">
        <v>0.52701337577621199</v>
      </c>
      <c r="G47" s="3">
        <v>3.1765357916665682</v>
      </c>
      <c r="H47" s="3">
        <v>7.5293617021276598</v>
      </c>
      <c r="I47" s="3">
        <f t="shared" si="0"/>
        <v>6.5146436877572675</v>
      </c>
    </row>
    <row r="48" spans="1:18" x14ac:dyDescent="0.35">
      <c r="A48" s="1">
        <v>43282</v>
      </c>
      <c r="B48">
        <v>3.1781413418174198</v>
      </c>
      <c r="C48">
        <v>2.0596336308580101</v>
      </c>
      <c r="D48">
        <v>1.2740324153796201</v>
      </c>
      <c r="E48">
        <v>1.1481812141767</v>
      </c>
      <c r="F48">
        <v>0.92989977323554296</v>
      </c>
      <c r="G48" s="3">
        <v>3.261325886763311</v>
      </c>
      <c r="H48" s="3">
        <v>7.7517894736842097</v>
      </c>
      <c r="I48" s="3">
        <f t="shared" si="0"/>
        <v>6.4394672285807308</v>
      </c>
    </row>
    <row r="49" spans="1:9" x14ac:dyDescent="0.35">
      <c r="A49" s="1">
        <v>43374</v>
      </c>
      <c r="B49">
        <v>3.3834062287311202</v>
      </c>
      <c r="C49">
        <v>2.0451717038189501</v>
      </c>
      <c r="D49">
        <v>1.4926671968007601</v>
      </c>
      <c r="E49">
        <v>0.76169859319952604</v>
      </c>
      <c r="F49">
        <v>0.84055982964494802</v>
      </c>
      <c r="G49" s="3">
        <v>3.7845504114656809</v>
      </c>
      <c r="H49" s="3">
        <v>7.9124210526315784</v>
      </c>
      <c r="I49" s="3">
        <f t="shared" si="0"/>
        <v>7.1679566401968007</v>
      </c>
    </row>
    <row r="50" spans="1:9" x14ac:dyDescent="0.35">
      <c r="A50" s="1">
        <v>43466</v>
      </c>
      <c r="B50">
        <v>3.6333182413859499</v>
      </c>
      <c r="C50">
        <v>2.0263009493875299</v>
      </c>
      <c r="D50">
        <v>1.7600250170124001</v>
      </c>
      <c r="E50">
        <v>0.53245364232202497</v>
      </c>
      <c r="F50">
        <v>1.0464680538223201</v>
      </c>
      <c r="G50" s="3">
        <v>4.0597330518520316</v>
      </c>
      <c r="H50" s="3">
        <v>8.250322580645161</v>
      </c>
      <c r="I50" s="3">
        <f t="shared" si="0"/>
        <v>7.693051293237982</v>
      </c>
    </row>
    <row r="51" spans="1:9" x14ac:dyDescent="0.35">
      <c r="A51" s="1">
        <v>43556</v>
      </c>
      <c r="B51">
        <v>3.8634549001868002</v>
      </c>
      <c r="C51">
        <v>1.9910990663499899</v>
      </c>
      <c r="D51">
        <v>2.02270543442885</v>
      </c>
      <c r="E51">
        <v>4.5600371779528401E-2</v>
      </c>
      <c r="F51">
        <v>0.55493402110582302</v>
      </c>
      <c r="G51" s="3">
        <v>4.2242758249635406</v>
      </c>
      <c r="H51" s="3">
        <v>8.2508602150537644</v>
      </c>
      <c r="I51" s="3">
        <f t="shared" si="0"/>
        <v>8.0877307251503403</v>
      </c>
    </row>
    <row r="52" spans="1:9" x14ac:dyDescent="0.35">
      <c r="A52" s="1">
        <v>43647</v>
      </c>
      <c r="B52">
        <v>2.9249759951840901</v>
      </c>
      <c r="C52">
        <v>2.0372510644482098</v>
      </c>
      <c r="D52">
        <v>1.0415595083428</v>
      </c>
      <c r="E52">
        <v>-0.81813568359325495</v>
      </c>
      <c r="F52">
        <v>1.4115483562467199</v>
      </c>
      <c r="G52" s="3">
        <v>3.027869621785007</v>
      </c>
      <c r="H52" s="3">
        <v>8.110631578947368</v>
      </c>
      <c r="I52" s="3">
        <f t="shared" si="0"/>
        <v>5.9528456169690971</v>
      </c>
    </row>
    <row r="53" spans="1:9" x14ac:dyDescent="0.35">
      <c r="A53" s="1">
        <v>43739</v>
      </c>
      <c r="B53">
        <v>2.4180929513849301</v>
      </c>
      <c r="C53">
        <v>2.0340334030221898</v>
      </c>
      <c r="D53">
        <v>0.53765115759182902</v>
      </c>
      <c r="E53">
        <v>-1.7477949976871501</v>
      </c>
      <c r="F53">
        <v>1.5288634142991</v>
      </c>
      <c r="G53" s="3">
        <v>3.2476644597159381</v>
      </c>
      <c r="H53" s="3">
        <v>7.5868421052631581</v>
      </c>
      <c r="I53" s="3">
        <f t="shared" si="0"/>
        <v>5.6657574111008682</v>
      </c>
    </row>
    <row r="54" spans="1:9" x14ac:dyDescent="0.35">
      <c r="A54" s="1">
        <v>43831</v>
      </c>
      <c r="B54">
        <v>2.5161131013446401</v>
      </c>
      <c r="C54">
        <v>1.9712318305172201</v>
      </c>
      <c r="D54">
        <v>0.69373067937838295</v>
      </c>
      <c r="E54">
        <v>-2.4100168991017199</v>
      </c>
      <c r="F54">
        <v>0.88116202656572695</v>
      </c>
      <c r="G54" s="3">
        <v>4.1293504514592794</v>
      </c>
      <c r="H54" s="3">
        <v>7.0545652173913043</v>
      </c>
      <c r="I54" s="3">
        <f t="shared" si="0"/>
        <v>6.6454635528039194</v>
      </c>
    </row>
    <row r="55" spans="1:9" x14ac:dyDescent="0.35">
      <c r="A55" s="1">
        <v>43922</v>
      </c>
      <c r="B55">
        <v>-3.5626678380964201</v>
      </c>
      <c r="C55">
        <v>1.6390355218510999</v>
      </c>
      <c r="D55">
        <v>-5.0779383799768301</v>
      </c>
      <c r="E55">
        <v>-18.0253831377333</v>
      </c>
      <c r="F55">
        <v>5.7616793137998101</v>
      </c>
      <c r="G55" s="3">
        <v>4.0603461599709068</v>
      </c>
      <c r="H55" s="3">
        <v>5.8153191489361697</v>
      </c>
      <c r="I55" s="3">
        <f t="shared" si="0"/>
        <v>0.49767832187448668</v>
      </c>
    </row>
    <row r="56" spans="1:9" x14ac:dyDescent="0.35">
      <c r="A56" s="1">
        <v>44013</v>
      </c>
      <c r="B56">
        <v>-0.84134184784011701</v>
      </c>
      <c r="C56">
        <v>1.67071500151842</v>
      </c>
      <c r="D56">
        <v>-2.38589972466966</v>
      </c>
      <c r="E56">
        <v>-6.4911545562106303</v>
      </c>
      <c r="F56">
        <v>1.6199230252480601</v>
      </c>
      <c r="G56" s="3">
        <v>4.3508674107114453</v>
      </c>
      <c r="H56" s="3">
        <v>4.7256382978723401</v>
      </c>
      <c r="I56" s="3">
        <f t="shared" si="0"/>
        <v>3.5095255628713282</v>
      </c>
    </row>
    <row r="57" spans="1:9" x14ac:dyDescent="0.35">
      <c r="A57" s="1">
        <v>44105</v>
      </c>
      <c r="B57">
        <v>-0.87743734919697303</v>
      </c>
      <c r="C57">
        <v>1.7783345115084499</v>
      </c>
      <c r="D57">
        <v>-2.5214882943862098</v>
      </c>
      <c r="E57">
        <v>-4.1840888584122196</v>
      </c>
      <c r="F57">
        <v>1.29472559875291</v>
      </c>
      <c r="G57" s="3">
        <v>2.792809295424115</v>
      </c>
      <c r="H57" s="3">
        <v>4.2506315789473694</v>
      </c>
      <c r="I57" s="3">
        <f t="shared" si="0"/>
        <v>1.9153719462271419</v>
      </c>
    </row>
    <row r="58" spans="1:9" x14ac:dyDescent="0.35">
      <c r="A58" s="1">
        <v>44197</v>
      </c>
      <c r="B58">
        <v>0.18960364879673799</v>
      </c>
      <c r="C58">
        <v>1.7031067038404399</v>
      </c>
      <c r="D58">
        <v>-1.38490000509228</v>
      </c>
      <c r="E58">
        <v>-3.2144203564187102</v>
      </c>
      <c r="F58">
        <v>-3.7149810814524301E-2</v>
      </c>
      <c r="G58" s="3">
        <v>4.6562693088463947</v>
      </c>
      <c r="H58" s="3">
        <v>4.1175268817204298</v>
      </c>
      <c r="I58" s="3">
        <f t="shared" si="0"/>
        <v>4.8458729576431328</v>
      </c>
    </row>
    <row r="59" spans="1:9" x14ac:dyDescent="0.35">
      <c r="A59" s="1">
        <v>44287</v>
      </c>
      <c r="B59">
        <v>1.60410118761937</v>
      </c>
      <c r="C59">
        <v>1.6139703752386401</v>
      </c>
      <c r="D59">
        <v>0.112003101603052</v>
      </c>
      <c r="E59">
        <v>-1.5816140242418399</v>
      </c>
      <c r="F59">
        <v>-1.9771829076985801</v>
      </c>
      <c r="G59" s="3">
        <v>5.7607679621090924</v>
      </c>
      <c r="H59" s="3">
        <v>4.0170967741935479</v>
      </c>
      <c r="I59" s="3">
        <f t="shared" si="0"/>
        <v>7.3648691497284622</v>
      </c>
    </row>
    <row r="60" spans="1:9" x14ac:dyDescent="0.35">
      <c r="A60" s="1">
        <v>44378</v>
      </c>
      <c r="B60">
        <v>2.0951787186639499</v>
      </c>
      <c r="C60">
        <v>1.52341616045724</v>
      </c>
      <c r="D60">
        <v>0.68679702089674899</v>
      </c>
      <c r="E60">
        <v>-1.74834672050679</v>
      </c>
      <c r="F60">
        <v>-2.5301191616401102</v>
      </c>
      <c r="G60" s="3">
        <v>6.067599416051328</v>
      </c>
      <c r="H60" s="3">
        <v>4.3844210526315788</v>
      </c>
      <c r="I60" s="3">
        <f t="shared" si="0"/>
        <v>8.1627781347152784</v>
      </c>
    </row>
    <row r="61" spans="1:9" x14ac:dyDescent="0.35">
      <c r="A61" s="1">
        <v>44470</v>
      </c>
      <c r="B61">
        <v>2.7141668154604202</v>
      </c>
      <c r="C61">
        <v>1.48205726455597</v>
      </c>
      <c r="D61">
        <v>1.3440209678431401</v>
      </c>
      <c r="E61">
        <v>-0.32799603313060299</v>
      </c>
      <c r="F61">
        <v>-3.3609780659669699</v>
      </c>
      <c r="G61" s="3">
        <v>5.9720819992299168</v>
      </c>
      <c r="H61" s="3">
        <v>4.9673684210526314</v>
      </c>
      <c r="I61" s="3">
        <f t="shared" si="0"/>
        <v>8.6862488146903374</v>
      </c>
    </row>
    <row r="62" spans="1:9" x14ac:dyDescent="0.35">
      <c r="A62" s="1">
        <v>44562</v>
      </c>
      <c r="B62">
        <v>5.4315490417205403</v>
      </c>
      <c r="C62">
        <v>1.3538711248542299</v>
      </c>
      <c r="D62">
        <v>4.1799098883010899</v>
      </c>
      <c r="E62">
        <v>2.2915873396186699</v>
      </c>
      <c r="F62">
        <v>-6.1714224792159698</v>
      </c>
      <c r="G62" s="3">
        <v>8.4020551252795617</v>
      </c>
      <c r="H62" s="3">
        <v>5.8107526881720428</v>
      </c>
      <c r="I62" s="3">
        <f t="shared" si="0"/>
        <v>13.833604167000102</v>
      </c>
    </row>
    <row r="63" spans="1:9" x14ac:dyDescent="0.35">
      <c r="A63" s="1">
        <v>44652</v>
      </c>
      <c r="B63">
        <v>7.29795495937823</v>
      </c>
      <c r="C63">
        <v>1.2757640868781099</v>
      </c>
      <c r="D63">
        <v>6.11852491441367</v>
      </c>
      <c r="E63">
        <v>4.2768268725201297</v>
      </c>
      <c r="F63">
        <v>-7.8292349716061498</v>
      </c>
      <c r="G63" s="3">
        <v>9.0033835083508595</v>
      </c>
      <c r="H63" s="3">
        <v>6.830000000000001</v>
      </c>
      <c r="I63" s="3">
        <f t="shared" si="0"/>
        <v>16.301338467729089</v>
      </c>
    </row>
    <row r="64" spans="1:9" x14ac:dyDescent="0.35">
      <c r="A64" s="1">
        <v>44743</v>
      </c>
      <c r="B64">
        <v>8.0471276018385307</v>
      </c>
      <c r="C64">
        <v>1.25163099529167</v>
      </c>
      <c r="D64">
        <v>6.8900083379875596</v>
      </c>
      <c r="E64">
        <v>5.2543611151129399</v>
      </c>
      <c r="F64">
        <v>-7.8978101356443799</v>
      </c>
      <c r="G64" s="3">
        <v>8.6741456725758503</v>
      </c>
      <c r="H64" s="3">
        <v>8.162234042553191</v>
      </c>
      <c r="I64" s="3">
        <f t="shared" si="0"/>
        <v>16.721273274414379</v>
      </c>
    </row>
    <row r="65" spans="1:9" x14ac:dyDescent="0.35">
      <c r="A65" s="1">
        <v>44835</v>
      </c>
      <c r="B65">
        <v>7.4075785952794604</v>
      </c>
      <c r="C65">
        <v>1.28666677992585</v>
      </c>
      <c r="D65">
        <v>6.2180691289831698</v>
      </c>
      <c r="E65">
        <v>4.9527262060539696</v>
      </c>
      <c r="F65">
        <v>-6.09827397617922</v>
      </c>
      <c r="G65" s="3">
        <v>7.6949866910769549</v>
      </c>
      <c r="H65" s="3">
        <v>9.7529473684210526</v>
      </c>
      <c r="I65" s="3">
        <f t="shared" si="0"/>
        <v>15.102565286356416</v>
      </c>
    </row>
    <row r="66" spans="1:9" x14ac:dyDescent="0.35">
      <c r="A66" s="1">
        <v>44927</v>
      </c>
      <c r="B66">
        <v>7.1314545718688098</v>
      </c>
      <c r="C66">
        <v>1.3215339934677099</v>
      </c>
      <c r="D66">
        <v>5.9097107452715498</v>
      </c>
      <c r="E66">
        <v>5.0774550988257898</v>
      </c>
      <c r="F66">
        <v>-4.6325802979478796</v>
      </c>
      <c r="G66" s="3">
        <v>7.7558580000545394</v>
      </c>
      <c r="H66" s="3">
        <v>10.780967741935481</v>
      </c>
      <c r="I66" s="3">
        <f t="shared" si="0"/>
        <v>14.887312571923349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output.mx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Temitope FAROTIMI</cp:lastModifiedBy>
  <dcterms:created xsi:type="dcterms:W3CDTF">2025-04-10T23:20:56Z</dcterms:created>
  <dcterms:modified xsi:type="dcterms:W3CDTF">2025-04-10T23:42:05Z</dcterms:modified>
</cp:coreProperties>
</file>
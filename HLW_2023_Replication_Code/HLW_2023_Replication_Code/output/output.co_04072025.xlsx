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farotimi\Documents\CEPAL\Tasa-Natural-de-Interes\HLW_2023_Replication_Code\HLW_2023_Replication_Code\output\"/>
    </mc:Choice>
  </mc:AlternateContent>
  <xr:revisionPtr revIDLastSave="0" documentId="13_ncr:9_{12E78E1A-825D-462B-B944-91A7C56F883A}" xr6:coauthVersionLast="47" xr6:coauthVersionMax="47" xr10:uidLastSave="{00000000-0000-0000-0000-000000000000}"/>
  <bookViews>
    <workbookView xWindow="28680" yWindow="-120" windowWidth="29040" windowHeight="15840" xr2:uid="{345CB857-7974-4480-9631-57EA4603E283}"/>
  </bookViews>
  <sheets>
    <sheet name="output.co_04072025" sheetId="1" r:id="rId1"/>
  </sheets>
  <calcPr calcId="0"/>
</workbook>
</file>

<file path=xl/calcChain.xml><?xml version="1.0" encoding="utf-8"?>
<calcChain xmlns="http://schemas.openxmlformats.org/spreadsheetml/2006/main">
  <c r="T14" i="1" l="1"/>
  <c r="T13" i="1"/>
</calcChain>
</file>

<file path=xl/sharedStrings.xml><?xml version="1.0" encoding="utf-8"?>
<sst xmlns="http://schemas.openxmlformats.org/spreadsheetml/2006/main" count="36" uniqueCount="34">
  <si>
    <t>Date</t>
  </si>
  <si>
    <t>rstar</t>
  </si>
  <si>
    <t>g</t>
  </si>
  <si>
    <t>z</t>
  </si>
  <si>
    <t>output gap</t>
  </si>
  <si>
    <t>real rate gap</t>
  </si>
  <si>
    <t>All results are output from the Stage 3 model.</t>
  </si>
  <si>
    <t>Standard Errors</t>
  </si>
  <si>
    <t>y*</t>
  </si>
  <si>
    <t>r*</t>
  </si>
  <si>
    <t>Parameter Point Estimates</t>
  </si>
  <si>
    <t>a_y1</t>
  </si>
  <si>
    <t>a_y2</t>
  </si>
  <si>
    <t>a_r</t>
  </si>
  <si>
    <t>b_pi</t>
  </si>
  <si>
    <t>b_y</t>
  </si>
  <si>
    <t>sigma_ygap</t>
  </si>
  <si>
    <t>sigma_pi</t>
  </si>
  <si>
    <t>sigma_ystar</t>
  </si>
  <si>
    <t>phi</t>
  </si>
  <si>
    <t>c</t>
  </si>
  <si>
    <t>a_y1 + a_y2</t>
  </si>
  <si>
    <t>Signal-to-noise Ratios</t>
  </si>
  <si>
    <t>Log Likelihood</t>
  </si>
  <si>
    <t>lambda_g</t>
  </si>
  <si>
    <t>lambda_z</t>
  </si>
  <si>
    <t>State vector: [y_{t}* y_{t-1}* y_{t-2}* g_{t} g_{t-1} g_{t-2} z_{t} z_{t-1} z_{t-2}]</t>
  </si>
  <si>
    <t>Initial State Vector</t>
  </si>
  <si>
    <t>Initial Covariance Matrix</t>
  </si>
  <si>
    <t>interest</t>
  </si>
  <si>
    <t>inflation</t>
  </si>
  <si>
    <t>Correlation</t>
  </si>
  <si>
    <t>r*, interest</t>
  </si>
  <si>
    <t>r*, inflation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</si>
</sst>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10" fillId="6" borderId="5" xfId="10"/>
    <xf numFmtId="0" fontId="9" fillId="5" borderId="4" xfId="9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r*, interest, inflation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output.co_04072025!$B$1</c:f>
              <c:strCache>
                <c:ptCount val="1"/>
                <c:pt idx="0">
                  <c:v>rstar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output.co_04072025!$A$2:$A$71</c:f>
              <c:numCache>
                <c:formatCode>m/d/yyyy</c:formatCode>
                <c:ptCount val="70"/>
                <c:pt idx="0">
                  <c:v>38718</c:v>
                </c:pt>
                <c:pt idx="1">
                  <c:v>38808</c:v>
                </c:pt>
                <c:pt idx="2">
                  <c:v>38899</c:v>
                </c:pt>
                <c:pt idx="3">
                  <c:v>38991</c:v>
                </c:pt>
                <c:pt idx="4">
                  <c:v>39083</c:v>
                </c:pt>
                <c:pt idx="5">
                  <c:v>39173</c:v>
                </c:pt>
                <c:pt idx="6">
                  <c:v>39264</c:v>
                </c:pt>
                <c:pt idx="7">
                  <c:v>39356</c:v>
                </c:pt>
                <c:pt idx="8">
                  <c:v>39448</c:v>
                </c:pt>
                <c:pt idx="9">
                  <c:v>39539</c:v>
                </c:pt>
                <c:pt idx="10">
                  <c:v>39630</c:v>
                </c:pt>
                <c:pt idx="11">
                  <c:v>39722</c:v>
                </c:pt>
                <c:pt idx="12">
                  <c:v>39814</c:v>
                </c:pt>
                <c:pt idx="13">
                  <c:v>39904</c:v>
                </c:pt>
                <c:pt idx="14">
                  <c:v>39995</c:v>
                </c:pt>
                <c:pt idx="15">
                  <c:v>40087</c:v>
                </c:pt>
                <c:pt idx="16">
                  <c:v>40179</c:v>
                </c:pt>
                <c:pt idx="17">
                  <c:v>40269</c:v>
                </c:pt>
                <c:pt idx="18">
                  <c:v>40360</c:v>
                </c:pt>
                <c:pt idx="19">
                  <c:v>40452</c:v>
                </c:pt>
                <c:pt idx="20">
                  <c:v>40544</c:v>
                </c:pt>
                <c:pt idx="21">
                  <c:v>40634</c:v>
                </c:pt>
                <c:pt idx="22">
                  <c:v>40725</c:v>
                </c:pt>
                <c:pt idx="23">
                  <c:v>40817</c:v>
                </c:pt>
                <c:pt idx="24">
                  <c:v>40909</c:v>
                </c:pt>
                <c:pt idx="25">
                  <c:v>41000</c:v>
                </c:pt>
                <c:pt idx="26">
                  <c:v>41091</c:v>
                </c:pt>
                <c:pt idx="27">
                  <c:v>41183</c:v>
                </c:pt>
                <c:pt idx="28">
                  <c:v>41275</c:v>
                </c:pt>
                <c:pt idx="29">
                  <c:v>41365</c:v>
                </c:pt>
                <c:pt idx="30">
                  <c:v>41456</c:v>
                </c:pt>
                <c:pt idx="31">
                  <c:v>41548</c:v>
                </c:pt>
                <c:pt idx="32">
                  <c:v>41640</c:v>
                </c:pt>
                <c:pt idx="33">
                  <c:v>41730</c:v>
                </c:pt>
                <c:pt idx="34">
                  <c:v>41821</c:v>
                </c:pt>
                <c:pt idx="35">
                  <c:v>41913</c:v>
                </c:pt>
                <c:pt idx="36">
                  <c:v>42005</c:v>
                </c:pt>
                <c:pt idx="37">
                  <c:v>42095</c:v>
                </c:pt>
                <c:pt idx="38">
                  <c:v>42186</c:v>
                </c:pt>
                <c:pt idx="39">
                  <c:v>42278</c:v>
                </c:pt>
                <c:pt idx="40">
                  <c:v>42370</c:v>
                </c:pt>
                <c:pt idx="41">
                  <c:v>42461</c:v>
                </c:pt>
                <c:pt idx="42">
                  <c:v>42552</c:v>
                </c:pt>
                <c:pt idx="43">
                  <c:v>42644</c:v>
                </c:pt>
                <c:pt idx="44">
                  <c:v>42736</c:v>
                </c:pt>
                <c:pt idx="45">
                  <c:v>42826</c:v>
                </c:pt>
                <c:pt idx="46">
                  <c:v>42917</c:v>
                </c:pt>
                <c:pt idx="47">
                  <c:v>43009</c:v>
                </c:pt>
                <c:pt idx="48">
                  <c:v>43101</c:v>
                </c:pt>
                <c:pt idx="49">
                  <c:v>43191</c:v>
                </c:pt>
                <c:pt idx="50">
                  <c:v>43282</c:v>
                </c:pt>
                <c:pt idx="51">
                  <c:v>43374</c:v>
                </c:pt>
                <c:pt idx="52">
                  <c:v>43466</c:v>
                </c:pt>
                <c:pt idx="53">
                  <c:v>43556</c:v>
                </c:pt>
                <c:pt idx="54">
                  <c:v>43647</c:v>
                </c:pt>
                <c:pt idx="55">
                  <c:v>43739</c:v>
                </c:pt>
                <c:pt idx="56">
                  <c:v>43831</c:v>
                </c:pt>
                <c:pt idx="57">
                  <c:v>43922</c:v>
                </c:pt>
                <c:pt idx="58">
                  <c:v>44013</c:v>
                </c:pt>
                <c:pt idx="59">
                  <c:v>44105</c:v>
                </c:pt>
                <c:pt idx="60">
                  <c:v>44197</c:v>
                </c:pt>
                <c:pt idx="61">
                  <c:v>44287</c:v>
                </c:pt>
                <c:pt idx="62">
                  <c:v>44378</c:v>
                </c:pt>
                <c:pt idx="63">
                  <c:v>44470</c:v>
                </c:pt>
                <c:pt idx="64">
                  <c:v>44562</c:v>
                </c:pt>
                <c:pt idx="65">
                  <c:v>44652</c:v>
                </c:pt>
                <c:pt idx="66">
                  <c:v>44743</c:v>
                </c:pt>
                <c:pt idx="67">
                  <c:v>44835</c:v>
                </c:pt>
                <c:pt idx="68">
                  <c:v>44927</c:v>
                </c:pt>
                <c:pt idx="69">
                  <c:v>45017</c:v>
                </c:pt>
              </c:numCache>
            </c:numRef>
          </c:cat>
          <c:val>
            <c:numRef>
              <c:f>output.co_04072025!$B$2:$B$71</c:f>
              <c:numCache>
                <c:formatCode>General</c:formatCode>
                <c:ptCount val="70"/>
                <c:pt idx="0">
                  <c:v>2.51647976774015</c:v>
                </c:pt>
                <c:pt idx="1">
                  <c:v>2.3958828845895401</c:v>
                </c:pt>
                <c:pt idx="2">
                  <c:v>2.50263529132262</c:v>
                </c:pt>
                <c:pt idx="3">
                  <c:v>2.6333016693850801</c:v>
                </c:pt>
                <c:pt idx="4">
                  <c:v>2.6608147579878101</c:v>
                </c:pt>
                <c:pt idx="5">
                  <c:v>2.67188988395591</c:v>
                </c:pt>
                <c:pt idx="6">
                  <c:v>2.8724889956398401</c:v>
                </c:pt>
                <c:pt idx="7">
                  <c:v>2.9862991495567002</c:v>
                </c:pt>
                <c:pt idx="8">
                  <c:v>2.9230042404735799</c:v>
                </c:pt>
                <c:pt idx="9">
                  <c:v>2.9208396416304998</c:v>
                </c:pt>
                <c:pt idx="10">
                  <c:v>2.9352261178760801</c:v>
                </c:pt>
                <c:pt idx="11">
                  <c:v>2.71938825289552</c:v>
                </c:pt>
                <c:pt idx="12">
                  <c:v>2.6372369528684199</c:v>
                </c:pt>
                <c:pt idx="13">
                  <c:v>2.5678639152128002</c:v>
                </c:pt>
                <c:pt idx="14">
                  <c:v>2.4005249435323899</c:v>
                </c:pt>
                <c:pt idx="15">
                  <c:v>2.1404187205804499</c:v>
                </c:pt>
                <c:pt idx="16">
                  <c:v>1.9955881568776701</c:v>
                </c:pt>
                <c:pt idx="17">
                  <c:v>1.88298072505457</c:v>
                </c:pt>
                <c:pt idx="18">
                  <c:v>1.71073916201323</c:v>
                </c:pt>
                <c:pt idx="19">
                  <c:v>1.69644388597887</c:v>
                </c:pt>
                <c:pt idx="20">
                  <c:v>1.8643723084505499</c:v>
                </c:pt>
                <c:pt idx="21">
                  <c:v>1.86677288868217</c:v>
                </c:pt>
                <c:pt idx="22">
                  <c:v>1.95614977176754</c:v>
                </c:pt>
                <c:pt idx="23">
                  <c:v>1.98433085015896</c:v>
                </c:pt>
                <c:pt idx="24">
                  <c:v>2.2107687504858702</c:v>
                </c:pt>
                <c:pt idx="25">
                  <c:v>2.1059292578347901</c:v>
                </c:pt>
                <c:pt idx="26">
                  <c:v>1.8878211272673</c:v>
                </c:pt>
                <c:pt idx="27">
                  <c:v>1.8040115253420499</c:v>
                </c:pt>
                <c:pt idx="28">
                  <c:v>1.8946266108617</c:v>
                </c:pt>
                <c:pt idx="29">
                  <c:v>2.1547775387374002</c:v>
                </c:pt>
                <c:pt idx="30">
                  <c:v>2.0067044570118799</c:v>
                </c:pt>
                <c:pt idx="31">
                  <c:v>1.91308892124524</c:v>
                </c:pt>
                <c:pt idx="32">
                  <c:v>2.0637006722840998</c:v>
                </c:pt>
                <c:pt idx="33">
                  <c:v>2.0643184283686602</c:v>
                </c:pt>
                <c:pt idx="34">
                  <c:v>1.9857592640223101</c:v>
                </c:pt>
                <c:pt idx="35">
                  <c:v>1.92467075992374</c:v>
                </c:pt>
                <c:pt idx="36">
                  <c:v>2.0955854788072501</c:v>
                </c:pt>
                <c:pt idx="37">
                  <c:v>2.2381505626120899</c:v>
                </c:pt>
                <c:pt idx="38">
                  <c:v>2.1686509653550301</c:v>
                </c:pt>
                <c:pt idx="39">
                  <c:v>2.1702971935717001</c:v>
                </c:pt>
                <c:pt idx="40">
                  <c:v>2.5539284251923302</c:v>
                </c:pt>
                <c:pt idx="41">
                  <c:v>2.4987344361121702</c:v>
                </c:pt>
                <c:pt idx="42">
                  <c:v>2.1319654036532798</c:v>
                </c:pt>
                <c:pt idx="43">
                  <c:v>1.6969353846285899</c:v>
                </c:pt>
                <c:pt idx="44">
                  <c:v>1.8204805007037801</c:v>
                </c:pt>
                <c:pt idx="45">
                  <c:v>1.7424318807610599</c:v>
                </c:pt>
                <c:pt idx="46">
                  <c:v>1.26514072366423</c:v>
                </c:pt>
                <c:pt idx="47">
                  <c:v>0.90541715046017501</c:v>
                </c:pt>
                <c:pt idx="48">
                  <c:v>0.98752772076948603</c:v>
                </c:pt>
                <c:pt idx="49">
                  <c:v>1.0451414506648899</c:v>
                </c:pt>
                <c:pt idx="50">
                  <c:v>0.817904321416697</c:v>
                </c:pt>
                <c:pt idx="51">
                  <c:v>0.59235699178117596</c:v>
                </c:pt>
                <c:pt idx="52">
                  <c:v>0.86650960647666497</c:v>
                </c:pt>
                <c:pt idx="53">
                  <c:v>1.03252278297206</c:v>
                </c:pt>
                <c:pt idx="54">
                  <c:v>0.91325615315012998</c:v>
                </c:pt>
                <c:pt idx="55">
                  <c:v>0.70889065997613698</c:v>
                </c:pt>
                <c:pt idx="56">
                  <c:v>0.63538980460039396</c:v>
                </c:pt>
                <c:pt idx="57">
                  <c:v>-1.5523630014777701</c:v>
                </c:pt>
                <c:pt idx="58">
                  <c:v>-0.99948342416012104</c:v>
                </c:pt>
                <c:pt idx="59">
                  <c:v>-0.56710614639055001</c:v>
                </c:pt>
                <c:pt idx="60">
                  <c:v>-2.3288471498027902E-2</c:v>
                </c:pt>
                <c:pt idx="61">
                  <c:v>7.2486584236318999E-2</c:v>
                </c:pt>
                <c:pt idx="62">
                  <c:v>0.71737612220528302</c:v>
                </c:pt>
                <c:pt idx="63">
                  <c:v>0.881815968953642</c:v>
                </c:pt>
                <c:pt idx="64">
                  <c:v>1.9514743396054399</c:v>
                </c:pt>
                <c:pt idx="65">
                  <c:v>2.5925910501670701</c:v>
                </c:pt>
                <c:pt idx="66">
                  <c:v>2.7243632196112402</c:v>
                </c:pt>
                <c:pt idx="67">
                  <c:v>2.4661640247835801</c:v>
                </c:pt>
                <c:pt idx="68">
                  <c:v>3.3070988430670698</c:v>
                </c:pt>
                <c:pt idx="69">
                  <c:v>2.9636601708564099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FF-4E08-A18C-30DFC57994AF}"/>
            </c:ext>
          </c:extLst>
        </c:ser>
        <c:ser>
          <c:idx val="1"/>
          <c:order val="1"/>
          <c:tx>
            <c:strRef>
              <c:f>output.co_04072025!$G$1</c:f>
              <c:strCache>
                <c:ptCount val="1"/>
                <c:pt idx="0">
                  <c:v>interest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output.co_04072025!$A$2:$A$71</c:f>
              <c:numCache>
                <c:formatCode>m/d/yyyy</c:formatCode>
                <c:ptCount val="70"/>
                <c:pt idx="0">
                  <c:v>38718</c:v>
                </c:pt>
                <c:pt idx="1">
                  <c:v>38808</c:v>
                </c:pt>
                <c:pt idx="2">
                  <c:v>38899</c:v>
                </c:pt>
                <c:pt idx="3">
                  <c:v>38991</c:v>
                </c:pt>
                <c:pt idx="4">
                  <c:v>39083</c:v>
                </c:pt>
                <c:pt idx="5">
                  <c:v>39173</c:v>
                </c:pt>
                <c:pt idx="6">
                  <c:v>39264</c:v>
                </c:pt>
                <c:pt idx="7">
                  <c:v>39356</c:v>
                </c:pt>
                <c:pt idx="8">
                  <c:v>39448</c:v>
                </c:pt>
                <c:pt idx="9">
                  <c:v>39539</c:v>
                </c:pt>
                <c:pt idx="10">
                  <c:v>39630</c:v>
                </c:pt>
                <c:pt idx="11">
                  <c:v>39722</c:v>
                </c:pt>
                <c:pt idx="12">
                  <c:v>39814</c:v>
                </c:pt>
                <c:pt idx="13">
                  <c:v>39904</c:v>
                </c:pt>
                <c:pt idx="14">
                  <c:v>39995</c:v>
                </c:pt>
                <c:pt idx="15">
                  <c:v>40087</c:v>
                </c:pt>
                <c:pt idx="16">
                  <c:v>40179</c:v>
                </c:pt>
                <c:pt idx="17">
                  <c:v>40269</c:v>
                </c:pt>
                <c:pt idx="18">
                  <c:v>40360</c:v>
                </c:pt>
                <c:pt idx="19">
                  <c:v>40452</c:v>
                </c:pt>
                <c:pt idx="20">
                  <c:v>40544</c:v>
                </c:pt>
                <c:pt idx="21">
                  <c:v>40634</c:v>
                </c:pt>
                <c:pt idx="22">
                  <c:v>40725</c:v>
                </c:pt>
                <c:pt idx="23">
                  <c:v>40817</c:v>
                </c:pt>
                <c:pt idx="24">
                  <c:v>40909</c:v>
                </c:pt>
                <c:pt idx="25">
                  <c:v>41000</c:v>
                </c:pt>
                <c:pt idx="26">
                  <c:v>41091</c:v>
                </c:pt>
                <c:pt idx="27">
                  <c:v>41183</c:v>
                </c:pt>
                <c:pt idx="28">
                  <c:v>41275</c:v>
                </c:pt>
                <c:pt idx="29">
                  <c:v>41365</c:v>
                </c:pt>
                <c:pt idx="30">
                  <c:v>41456</c:v>
                </c:pt>
                <c:pt idx="31">
                  <c:v>41548</c:v>
                </c:pt>
                <c:pt idx="32">
                  <c:v>41640</c:v>
                </c:pt>
                <c:pt idx="33">
                  <c:v>41730</c:v>
                </c:pt>
                <c:pt idx="34">
                  <c:v>41821</c:v>
                </c:pt>
                <c:pt idx="35">
                  <c:v>41913</c:v>
                </c:pt>
                <c:pt idx="36">
                  <c:v>42005</c:v>
                </c:pt>
                <c:pt idx="37">
                  <c:v>42095</c:v>
                </c:pt>
                <c:pt idx="38">
                  <c:v>42186</c:v>
                </c:pt>
                <c:pt idx="39">
                  <c:v>42278</c:v>
                </c:pt>
                <c:pt idx="40">
                  <c:v>42370</c:v>
                </c:pt>
                <c:pt idx="41">
                  <c:v>42461</c:v>
                </c:pt>
                <c:pt idx="42">
                  <c:v>42552</c:v>
                </c:pt>
                <c:pt idx="43">
                  <c:v>42644</c:v>
                </c:pt>
                <c:pt idx="44">
                  <c:v>42736</c:v>
                </c:pt>
                <c:pt idx="45">
                  <c:v>42826</c:v>
                </c:pt>
                <c:pt idx="46">
                  <c:v>42917</c:v>
                </c:pt>
                <c:pt idx="47">
                  <c:v>43009</c:v>
                </c:pt>
                <c:pt idx="48">
                  <c:v>43101</c:v>
                </c:pt>
                <c:pt idx="49">
                  <c:v>43191</c:v>
                </c:pt>
                <c:pt idx="50">
                  <c:v>43282</c:v>
                </c:pt>
                <c:pt idx="51">
                  <c:v>43374</c:v>
                </c:pt>
                <c:pt idx="52">
                  <c:v>43466</c:v>
                </c:pt>
                <c:pt idx="53">
                  <c:v>43556</c:v>
                </c:pt>
                <c:pt idx="54">
                  <c:v>43647</c:v>
                </c:pt>
                <c:pt idx="55">
                  <c:v>43739</c:v>
                </c:pt>
                <c:pt idx="56">
                  <c:v>43831</c:v>
                </c:pt>
                <c:pt idx="57">
                  <c:v>43922</c:v>
                </c:pt>
                <c:pt idx="58">
                  <c:v>44013</c:v>
                </c:pt>
                <c:pt idx="59">
                  <c:v>44105</c:v>
                </c:pt>
                <c:pt idx="60">
                  <c:v>44197</c:v>
                </c:pt>
                <c:pt idx="61">
                  <c:v>44287</c:v>
                </c:pt>
                <c:pt idx="62">
                  <c:v>44378</c:v>
                </c:pt>
                <c:pt idx="63">
                  <c:v>44470</c:v>
                </c:pt>
                <c:pt idx="64">
                  <c:v>44562</c:v>
                </c:pt>
                <c:pt idx="65">
                  <c:v>44652</c:v>
                </c:pt>
                <c:pt idx="66">
                  <c:v>44743</c:v>
                </c:pt>
                <c:pt idx="67">
                  <c:v>44835</c:v>
                </c:pt>
                <c:pt idx="68">
                  <c:v>44927</c:v>
                </c:pt>
                <c:pt idx="69">
                  <c:v>45017</c:v>
                </c:pt>
              </c:numCache>
            </c:numRef>
          </c:cat>
          <c:val>
            <c:numRef>
              <c:f>output.co_04072025!$G$2:$G$71</c:f>
              <c:numCache>
                <c:formatCode>General</c:formatCode>
                <c:ptCount val="70"/>
                <c:pt idx="0">
                  <c:v>5.9233333330000004</c:v>
                </c:pt>
                <c:pt idx="1">
                  <c:v>6.1666666670000003</c:v>
                </c:pt>
                <c:pt idx="2">
                  <c:v>6.64</c:v>
                </c:pt>
                <c:pt idx="3">
                  <c:v>7.23</c:v>
                </c:pt>
                <c:pt idx="4">
                  <c:v>7.7633333330000003</c:v>
                </c:pt>
                <c:pt idx="5">
                  <c:v>8.4633333329999996</c:v>
                </c:pt>
                <c:pt idx="6">
                  <c:v>9.1766666669999992</c:v>
                </c:pt>
                <c:pt idx="7">
                  <c:v>9.26</c:v>
                </c:pt>
                <c:pt idx="8">
                  <c:v>9.5166666670000009</c:v>
                </c:pt>
                <c:pt idx="9">
                  <c:v>9.6666666669999994</c:v>
                </c:pt>
                <c:pt idx="10">
                  <c:v>9.9513983330000002</c:v>
                </c:pt>
                <c:pt idx="11">
                  <c:v>9.7664126670000009</c:v>
                </c:pt>
                <c:pt idx="12">
                  <c:v>8.5737550000000002</c:v>
                </c:pt>
                <c:pt idx="13">
                  <c:v>5.9770686670000002</c:v>
                </c:pt>
                <c:pt idx="14">
                  <c:v>4.3406153329999997</c:v>
                </c:pt>
                <c:pt idx="15">
                  <c:v>3.6997426670000002</c:v>
                </c:pt>
                <c:pt idx="16">
                  <c:v>3.345345</c:v>
                </c:pt>
                <c:pt idx="17">
                  <c:v>3.1797423330000001</c:v>
                </c:pt>
                <c:pt idx="18">
                  <c:v>3.0344630000000001</c:v>
                </c:pt>
                <c:pt idx="19">
                  <c:v>3.027173667</c:v>
                </c:pt>
                <c:pt idx="20">
                  <c:v>3.1408876669999999</c:v>
                </c:pt>
                <c:pt idx="21">
                  <c:v>3.8368026670000002</c:v>
                </c:pt>
                <c:pt idx="22">
                  <c:v>4.4800383330000004</c:v>
                </c:pt>
                <c:pt idx="23">
                  <c:v>4.6727093330000002</c:v>
                </c:pt>
                <c:pt idx="24">
                  <c:v>5.0209323330000002</c:v>
                </c:pt>
                <c:pt idx="25">
                  <c:v>5.2731856669999999</c:v>
                </c:pt>
                <c:pt idx="26">
                  <c:v>5.0730760000000004</c:v>
                </c:pt>
                <c:pt idx="27">
                  <c:v>4.6548796670000003</c:v>
                </c:pt>
                <c:pt idx="28">
                  <c:v>3.9526463330000001</c:v>
                </c:pt>
                <c:pt idx="29">
                  <c:v>3.1681919999999999</c:v>
                </c:pt>
                <c:pt idx="30">
                  <c:v>3.2471676669999998</c:v>
                </c:pt>
                <c:pt idx="31">
                  <c:v>3.2556306670000001</c:v>
                </c:pt>
                <c:pt idx="32">
                  <c:v>3.216093769</c:v>
                </c:pt>
                <c:pt idx="33">
                  <c:v>3.523331759</c:v>
                </c:pt>
                <c:pt idx="34">
                  <c:v>4.1552902469999999</c:v>
                </c:pt>
                <c:pt idx="35">
                  <c:v>4.5042428880000003</c:v>
                </c:pt>
                <c:pt idx="36">
                  <c:v>4.5150796670000002</c:v>
                </c:pt>
                <c:pt idx="37">
                  <c:v>4.5189963329999996</c:v>
                </c:pt>
                <c:pt idx="38">
                  <c:v>4.5461543329999996</c:v>
                </c:pt>
                <c:pt idx="39">
                  <c:v>5.1915643329999996</c:v>
                </c:pt>
                <c:pt idx="40">
                  <c:v>6.0690196670000001</c:v>
                </c:pt>
                <c:pt idx="41">
                  <c:v>6.948258</c:v>
                </c:pt>
                <c:pt idx="42">
                  <c:v>7.6659433330000004</c:v>
                </c:pt>
                <c:pt idx="43">
                  <c:v>7.7209963330000004</c:v>
                </c:pt>
                <c:pt idx="44">
                  <c:v>7.3837469999999996</c:v>
                </c:pt>
                <c:pt idx="45">
                  <c:v>6.5788979999999997</c:v>
                </c:pt>
                <c:pt idx="46">
                  <c:v>5.5069660000000002</c:v>
                </c:pt>
                <c:pt idx="47">
                  <c:v>4.9821656670000003</c:v>
                </c:pt>
                <c:pt idx="48">
                  <c:v>4.566865</c:v>
                </c:pt>
                <c:pt idx="49">
                  <c:v>4.3071780000000004</c:v>
                </c:pt>
                <c:pt idx="50">
                  <c:v>4.255877667</c:v>
                </c:pt>
                <c:pt idx="51">
                  <c:v>4.2537399999999996</c:v>
                </c:pt>
                <c:pt idx="52">
                  <c:v>4.255531392</c:v>
                </c:pt>
                <c:pt idx="53">
                  <c:v>4.260797073</c:v>
                </c:pt>
                <c:pt idx="54">
                  <c:v>4.2632982830000001</c:v>
                </c:pt>
                <c:pt idx="55">
                  <c:v>4.2577139309999996</c:v>
                </c:pt>
                <c:pt idx="56">
                  <c:v>4.2308909999999997</c:v>
                </c:pt>
                <c:pt idx="57">
                  <c:v>3.2199653330000002</c:v>
                </c:pt>
                <c:pt idx="58">
                  <c:v>2.2263266669999999</c:v>
                </c:pt>
                <c:pt idx="59">
                  <c:v>1.7535923330000001</c:v>
                </c:pt>
                <c:pt idx="60">
                  <c:v>1.7350083329999999</c:v>
                </c:pt>
                <c:pt idx="61">
                  <c:v>1.7508536669999999</c:v>
                </c:pt>
                <c:pt idx="62">
                  <c:v>1.768146</c:v>
                </c:pt>
                <c:pt idx="63">
                  <c:v>2.4348163330000001</c:v>
                </c:pt>
                <c:pt idx="64">
                  <c:v>3.7485533329999998</c:v>
                </c:pt>
                <c:pt idx="65">
                  <c:v>5.7409346670000003</c:v>
                </c:pt>
                <c:pt idx="66">
                  <c:v>8.5270886669999992</c:v>
                </c:pt>
                <c:pt idx="67">
                  <c:v>10.81379433</c:v>
                </c:pt>
                <c:pt idx="68">
                  <c:v>12.470718</c:v>
                </c:pt>
                <c:pt idx="69">
                  <c:v>13.18801167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DFF-4E08-A18C-30DFC57994AF}"/>
            </c:ext>
          </c:extLst>
        </c:ser>
        <c:ser>
          <c:idx val="2"/>
          <c:order val="2"/>
          <c:tx>
            <c:strRef>
              <c:f>output.co_04072025!$H$1</c:f>
              <c:strCache>
                <c:ptCount val="1"/>
                <c:pt idx="0">
                  <c:v>inflation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output.co_04072025!$A$2:$A$71</c:f>
              <c:numCache>
                <c:formatCode>m/d/yyyy</c:formatCode>
                <c:ptCount val="70"/>
                <c:pt idx="0">
                  <c:v>38718</c:v>
                </c:pt>
                <c:pt idx="1">
                  <c:v>38808</c:v>
                </c:pt>
                <c:pt idx="2">
                  <c:v>38899</c:v>
                </c:pt>
                <c:pt idx="3">
                  <c:v>38991</c:v>
                </c:pt>
                <c:pt idx="4">
                  <c:v>39083</c:v>
                </c:pt>
                <c:pt idx="5">
                  <c:v>39173</c:v>
                </c:pt>
                <c:pt idx="6">
                  <c:v>39264</c:v>
                </c:pt>
                <c:pt idx="7">
                  <c:v>39356</c:v>
                </c:pt>
                <c:pt idx="8">
                  <c:v>39448</c:v>
                </c:pt>
                <c:pt idx="9">
                  <c:v>39539</c:v>
                </c:pt>
                <c:pt idx="10">
                  <c:v>39630</c:v>
                </c:pt>
                <c:pt idx="11">
                  <c:v>39722</c:v>
                </c:pt>
                <c:pt idx="12">
                  <c:v>39814</c:v>
                </c:pt>
                <c:pt idx="13">
                  <c:v>39904</c:v>
                </c:pt>
                <c:pt idx="14">
                  <c:v>39995</c:v>
                </c:pt>
                <c:pt idx="15">
                  <c:v>40087</c:v>
                </c:pt>
                <c:pt idx="16">
                  <c:v>40179</c:v>
                </c:pt>
                <c:pt idx="17">
                  <c:v>40269</c:v>
                </c:pt>
                <c:pt idx="18">
                  <c:v>40360</c:v>
                </c:pt>
                <c:pt idx="19">
                  <c:v>40452</c:v>
                </c:pt>
                <c:pt idx="20">
                  <c:v>40544</c:v>
                </c:pt>
                <c:pt idx="21">
                  <c:v>40634</c:v>
                </c:pt>
                <c:pt idx="22">
                  <c:v>40725</c:v>
                </c:pt>
                <c:pt idx="23">
                  <c:v>40817</c:v>
                </c:pt>
                <c:pt idx="24">
                  <c:v>40909</c:v>
                </c:pt>
                <c:pt idx="25">
                  <c:v>41000</c:v>
                </c:pt>
                <c:pt idx="26">
                  <c:v>41091</c:v>
                </c:pt>
                <c:pt idx="27">
                  <c:v>41183</c:v>
                </c:pt>
                <c:pt idx="28">
                  <c:v>41275</c:v>
                </c:pt>
                <c:pt idx="29">
                  <c:v>41365</c:v>
                </c:pt>
                <c:pt idx="30">
                  <c:v>41456</c:v>
                </c:pt>
                <c:pt idx="31">
                  <c:v>41548</c:v>
                </c:pt>
                <c:pt idx="32">
                  <c:v>41640</c:v>
                </c:pt>
                <c:pt idx="33">
                  <c:v>41730</c:v>
                </c:pt>
                <c:pt idx="34">
                  <c:v>41821</c:v>
                </c:pt>
                <c:pt idx="35">
                  <c:v>41913</c:v>
                </c:pt>
                <c:pt idx="36">
                  <c:v>42005</c:v>
                </c:pt>
                <c:pt idx="37">
                  <c:v>42095</c:v>
                </c:pt>
                <c:pt idx="38">
                  <c:v>42186</c:v>
                </c:pt>
                <c:pt idx="39">
                  <c:v>42278</c:v>
                </c:pt>
                <c:pt idx="40">
                  <c:v>42370</c:v>
                </c:pt>
                <c:pt idx="41">
                  <c:v>42461</c:v>
                </c:pt>
                <c:pt idx="42">
                  <c:v>42552</c:v>
                </c:pt>
                <c:pt idx="43">
                  <c:v>42644</c:v>
                </c:pt>
                <c:pt idx="44">
                  <c:v>42736</c:v>
                </c:pt>
                <c:pt idx="45">
                  <c:v>42826</c:v>
                </c:pt>
                <c:pt idx="46">
                  <c:v>42917</c:v>
                </c:pt>
                <c:pt idx="47">
                  <c:v>43009</c:v>
                </c:pt>
                <c:pt idx="48">
                  <c:v>43101</c:v>
                </c:pt>
                <c:pt idx="49">
                  <c:v>43191</c:v>
                </c:pt>
                <c:pt idx="50">
                  <c:v>43282</c:v>
                </c:pt>
                <c:pt idx="51">
                  <c:v>43374</c:v>
                </c:pt>
                <c:pt idx="52">
                  <c:v>43466</c:v>
                </c:pt>
                <c:pt idx="53">
                  <c:v>43556</c:v>
                </c:pt>
                <c:pt idx="54">
                  <c:v>43647</c:v>
                </c:pt>
                <c:pt idx="55">
                  <c:v>43739</c:v>
                </c:pt>
                <c:pt idx="56">
                  <c:v>43831</c:v>
                </c:pt>
                <c:pt idx="57">
                  <c:v>43922</c:v>
                </c:pt>
                <c:pt idx="58">
                  <c:v>44013</c:v>
                </c:pt>
                <c:pt idx="59">
                  <c:v>44105</c:v>
                </c:pt>
                <c:pt idx="60">
                  <c:v>44197</c:v>
                </c:pt>
                <c:pt idx="61">
                  <c:v>44287</c:v>
                </c:pt>
                <c:pt idx="62">
                  <c:v>44378</c:v>
                </c:pt>
                <c:pt idx="63">
                  <c:v>44470</c:v>
                </c:pt>
                <c:pt idx="64">
                  <c:v>44562</c:v>
                </c:pt>
                <c:pt idx="65">
                  <c:v>44652</c:v>
                </c:pt>
                <c:pt idx="66">
                  <c:v>44743</c:v>
                </c:pt>
                <c:pt idx="67">
                  <c:v>44835</c:v>
                </c:pt>
                <c:pt idx="68">
                  <c:v>44927</c:v>
                </c:pt>
                <c:pt idx="69">
                  <c:v>45017</c:v>
                </c:pt>
              </c:numCache>
            </c:numRef>
          </c:cat>
          <c:val>
            <c:numRef>
              <c:f>output.co_04072025!$H$2:$H$71</c:f>
              <c:numCache>
                <c:formatCode>General</c:formatCode>
                <c:ptCount val="70"/>
                <c:pt idx="0">
                  <c:v>5.3317142970000004</c:v>
                </c:pt>
                <c:pt idx="1">
                  <c:v>4.47500506</c:v>
                </c:pt>
                <c:pt idx="2">
                  <c:v>3.8155400180000001</c:v>
                </c:pt>
                <c:pt idx="3">
                  <c:v>3.3305088249999999</c:v>
                </c:pt>
                <c:pt idx="4">
                  <c:v>8.6940310939999996</c:v>
                </c:pt>
                <c:pt idx="5">
                  <c:v>8.7181134090000008</c:v>
                </c:pt>
                <c:pt idx="6">
                  <c:v>3.517365936</c:v>
                </c:pt>
                <c:pt idx="7">
                  <c:v>2.984621797</c:v>
                </c:pt>
                <c:pt idx="8">
                  <c:v>8.7587634179999991</c:v>
                </c:pt>
                <c:pt idx="9">
                  <c:v>6.4805553490000003</c:v>
                </c:pt>
                <c:pt idx="10">
                  <c:v>3.3260683599999998</c:v>
                </c:pt>
                <c:pt idx="11">
                  <c:v>4.3591355570000001</c:v>
                </c:pt>
                <c:pt idx="12">
                  <c:v>7.2248197320000003</c:v>
                </c:pt>
                <c:pt idx="13">
                  <c:v>4.8591097889999997</c:v>
                </c:pt>
                <c:pt idx="14">
                  <c:v>2.1555893340000001</c:v>
                </c:pt>
                <c:pt idx="15">
                  <c:v>1.027664183</c:v>
                </c:pt>
                <c:pt idx="16">
                  <c:v>5.2883655469999997</c:v>
                </c:pt>
                <c:pt idx="17">
                  <c:v>2.7797269020000002</c:v>
                </c:pt>
                <c:pt idx="18">
                  <c:v>1.3287022470000001</c:v>
                </c:pt>
                <c:pt idx="19">
                  <c:v>1.1525196339999999</c:v>
                </c:pt>
                <c:pt idx="20">
                  <c:v>5.4691601539999999</c:v>
                </c:pt>
                <c:pt idx="21">
                  <c:v>2.493223747</c:v>
                </c:pt>
                <c:pt idx="22">
                  <c:v>2.4662303479999999</c:v>
                </c:pt>
                <c:pt idx="23">
                  <c:v>3.116596548</c:v>
                </c:pt>
                <c:pt idx="24">
                  <c:v>6.0910310030000003</c:v>
                </c:pt>
                <c:pt idx="25">
                  <c:v>2.3510901880000001</c:v>
                </c:pt>
                <c:pt idx="26">
                  <c:v>1.7810933170000001</c:v>
                </c:pt>
                <c:pt idx="27">
                  <c:v>1.50759964</c:v>
                </c:pt>
                <c:pt idx="28">
                  <c:v>3.8421039600000002</c:v>
                </c:pt>
                <c:pt idx="29">
                  <c:v>3.1890965699999998</c:v>
                </c:pt>
                <c:pt idx="30">
                  <c:v>1.6047169320000001</c:v>
                </c:pt>
                <c:pt idx="31">
                  <c:v>1.157030362</c:v>
                </c:pt>
                <c:pt idx="32">
                  <c:v>4.1138290929999997</c:v>
                </c:pt>
                <c:pt idx="33">
                  <c:v>3.8543754240000001</c:v>
                </c:pt>
                <c:pt idx="34">
                  <c:v>2.1642180600000001</c:v>
                </c:pt>
                <c:pt idx="35">
                  <c:v>2.2243997960000002</c:v>
                </c:pt>
                <c:pt idx="36">
                  <c:v>5.5004383260000003</c:v>
                </c:pt>
                <c:pt idx="37">
                  <c:v>5.6490402570000002</c:v>
                </c:pt>
                <c:pt idx="38">
                  <c:v>3.5956270259999998</c:v>
                </c:pt>
                <c:pt idx="39">
                  <c:v>6.1228999020000003</c:v>
                </c:pt>
                <c:pt idx="40">
                  <c:v>10.127523050000001</c:v>
                </c:pt>
                <c:pt idx="41">
                  <c:v>7.2856167809999999</c:v>
                </c:pt>
                <c:pt idx="42">
                  <c:v>4.4300892530000002</c:v>
                </c:pt>
                <c:pt idx="43">
                  <c:v>3.2798897880000002</c:v>
                </c:pt>
                <c:pt idx="44">
                  <c:v>8.4654834090000008</c:v>
                </c:pt>
                <c:pt idx="45">
                  <c:v>5.7712008299999997</c:v>
                </c:pt>
                <c:pt idx="46">
                  <c:v>1.2266941229999999</c:v>
                </c:pt>
                <c:pt idx="47">
                  <c:v>1.89006677</c:v>
                </c:pt>
                <c:pt idx="48">
                  <c:v>5.8146926170000004</c:v>
                </c:pt>
                <c:pt idx="49">
                  <c:v>4.1158658719999996</c:v>
                </c:pt>
                <c:pt idx="50">
                  <c:v>1.303950459</c:v>
                </c:pt>
                <c:pt idx="51">
                  <c:v>1.7747886980000001</c:v>
                </c:pt>
                <c:pt idx="52">
                  <c:v>5.5287298939999996</c:v>
                </c:pt>
                <c:pt idx="53">
                  <c:v>4.7022907749999998</c:v>
                </c:pt>
                <c:pt idx="54">
                  <c:v>2.161918059</c:v>
                </c:pt>
                <c:pt idx="55">
                  <c:v>2.54979669</c:v>
                </c:pt>
                <c:pt idx="56">
                  <c:v>5.1009266999999996</c:v>
                </c:pt>
                <c:pt idx="57">
                  <c:v>1.0182076179999999</c:v>
                </c:pt>
                <c:pt idx="58">
                  <c:v>0.31352859100000002</c:v>
                </c:pt>
                <c:pt idx="59">
                  <c:v>1.725684453</c:v>
                </c:pt>
                <c:pt idx="60">
                  <c:v>3.8911408920000001</c:v>
                </c:pt>
                <c:pt idx="61">
                  <c:v>4.9820898079999996</c:v>
                </c:pt>
                <c:pt idx="62">
                  <c:v>4.4906798490000002</c:v>
                </c:pt>
                <c:pt idx="63">
                  <c:v>3.0127745300000002</c:v>
                </c:pt>
                <c:pt idx="64">
                  <c:v>13.047473330000001</c:v>
                </c:pt>
                <c:pt idx="65">
                  <c:v>11.957165549999999</c:v>
                </c:pt>
                <c:pt idx="66">
                  <c:v>9.9600369709999992</c:v>
                </c:pt>
                <c:pt idx="67">
                  <c:v>9.7121109019999992</c:v>
                </c:pt>
                <c:pt idx="68">
                  <c:v>17.075218159999999</c:v>
                </c:pt>
                <c:pt idx="69">
                  <c:v>11.00628442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DFF-4E08-A18C-30DFC57994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5529359"/>
        <c:axId val="485527439"/>
      </c:lineChart>
      <c:dateAx>
        <c:axId val="485529359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5527439"/>
        <c:crosses val="autoZero"/>
        <c:auto val="1"/>
        <c:lblOffset val="100"/>
        <c:baseTimeUnit val="months"/>
      </c:dateAx>
      <c:valAx>
        <c:axId val="485527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5529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196850</xdr:colOff>
      <xdr:row>4</xdr:row>
      <xdr:rowOff>87312</xdr:rowOff>
    </xdr:from>
    <xdr:to>
      <xdr:col>15</xdr:col>
      <xdr:colOff>501650</xdr:colOff>
      <xdr:row>19</xdr:row>
      <xdr:rowOff>125412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630C182-3DAD-5EA5-34AD-31FD7727C7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E10A7-D8B4-4DC3-A272-F45E226CCD52}">
  <dimension ref="A1:AB71"/>
  <sheetViews>
    <sheetView tabSelected="1" workbookViewId="0">
      <selection activeCell="U17" sqref="U17"/>
    </sheetView>
  </sheetViews>
  <sheetFormatPr defaultRowHeight="14.5" x14ac:dyDescent="0.35"/>
  <cols>
    <col min="7" max="8" width="8.7265625" style="3"/>
    <col min="19" max="19" width="11.81640625" bestFit="1" customWidth="1"/>
  </cols>
  <sheetData>
    <row r="1" spans="1:2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3" t="s">
        <v>29</v>
      </c>
      <c r="H1" s="3" t="s">
        <v>30</v>
      </c>
      <c r="I1" t="s">
        <v>6</v>
      </c>
      <c r="X1" t="s">
        <v>7</v>
      </c>
      <c r="Y1" t="s">
        <v>0</v>
      </c>
      <c r="Z1" t="s">
        <v>8</v>
      </c>
      <c r="AA1" t="s">
        <v>9</v>
      </c>
      <c r="AB1" t="s">
        <v>2</v>
      </c>
    </row>
    <row r="2" spans="1:28" x14ac:dyDescent="0.35">
      <c r="A2" s="1">
        <v>38718</v>
      </c>
      <c r="B2">
        <v>2.51647976774015</v>
      </c>
      <c r="C2">
        <v>4.1847838837568796</v>
      </c>
      <c r="D2">
        <v>-9.4934871608550104E-4</v>
      </c>
      <c r="E2">
        <v>-1.35842848513494</v>
      </c>
      <c r="F2">
        <v>-3.5897852822691E-2</v>
      </c>
      <c r="G2" s="3">
        <v>5.9233333330000004</v>
      </c>
      <c r="H2" s="3">
        <v>5.3317142970000004</v>
      </c>
      <c r="I2" t="s">
        <v>10</v>
      </c>
    </row>
    <row r="3" spans="1:28" x14ac:dyDescent="0.35">
      <c r="A3" s="1">
        <v>38808</v>
      </c>
      <c r="B3">
        <v>2.3958828845895401</v>
      </c>
      <c r="C3">
        <v>4.00190628825891</v>
      </c>
      <c r="D3">
        <v>-1.15330516302985E-2</v>
      </c>
      <c r="E3">
        <v>-1.0955169040501</v>
      </c>
      <c r="F3">
        <v>0.358671915568543</v>
      </c>
      <c r="G3" s="3">
        <v>6.1666666670000003</v>
      </c>
      <c r="H3" s="3">
        <v>4.47500506</v>
      </c>
      <c r="I3" t="s">
        <v>11</v>
      </c>
      <c r="J3" t="s">
        <v>12</v>
      </c>
      <c r="K3" t="s">
        <v>13</v>
      </c>
      <c r="L3" t="s">
        <v>14</v>
      </c>
      <c r="M3" t="s">
        <v>15</v>
      </c>
      <c r="N3" t="s">
        <v>16</v>
      </c>
      <c r="O3" t="s">
        <v>17</v>
      </c>
      <c r="P3" t="s">
        <v>18</v>
      </c>
      <c r="Q3" t="s">
        <v>19</v>
      </c>
      <c r="R3" t="s">
        <v>20</v>
      </c>
      <c r="S3" t="s">
        <v>21</v>
      </c>
    </row>
    <row r="4" spans="1:28" x14ac:dyDescent="0.35">
      <c r="A4" s="1">
        <v>38899</v>
      </c>
      <c r="B4">
        <v>2.50263529132262</v>
      </c>
      <c r="C4">
        <v>4.1492892495563298</v>
      </c>
      <c r="D4">
        <v>6.5585859099418498E-3</v>
      </c>
      <c r="E4">
        <v>-0.24886277627592801</v>
      </c>
      <c r="F4">
        <v>0.32450910765921498</v>
      </c>
      <c r="G4" s="3">
        <v>6.64</v>
      </c>
      <c r="H4" s="3">
        <v>3.8155400180000001</v>
      </c>
      <c r="I4">
        <v>0.65490128832066696</v>
      </c>
      <c r="J4">
        <v>-2.1417236005165999E-3</v>
      </c>
      <c r="K4">
        <v>-0.46219325437746001</v>
      </c>
      <c r="L4">
        <v>0.29744506434925799</v>
      </c>
      <c r="M4">
        <v>0.163391526430788</v>
      </c>
      <c r="N4">
        <v>2.4743333564257801</v>
      </c>
      <c r="O4">
        <v>2.32970542440771</v>
      </c>
      <c r="P4">
        <v>0.44541262547300697</v>
      </c>
      <c r="Q4">
        <v>0</v>
      </c>
      <c r="R4">
        <v>0.60156729388763996</v>
      </c>
      <c r="S4">
        <v>0.65275956472015095</v>
      </c>
    </row>
    <row r="5" spans="1:28" x14ac:dyDescent="0.35">
      <c r="A5" s="1">
        <v>38991</v>
      </c>
      <c r="B5">
        <v>2.6333016693850801</v>
      </c>
      <c r="C5">
        <v>4.3367561342565901</v>
      </c>
      <c r="D5">
        <v>2.44510174497235E-2</v>
      </c>
      <c r="E5">
        <v>0.25972170499017</v>
      </c>
      <c r="F5">
        <v>0.35850628054605399</v>
      </c>
      <c r="G5" s="3">
        <v>7.23</v>
      </c>
      <c r="H5" s="3">
        <v>3.3305088249999999</v>
      </c>
    </row>
    <row r="6" spans="1:28" x14ac:dyDescent="0.35">
      <c r="A6" s="1">
        <v>39083</v>
      </c>
      <c r="B6">
        <v>2.6608147579878101</v>
      </c>
      <c r="C6">
        <v>4.2946504188678301</v>
      </c>
      <c r="D6">
        <v>7.7293527316070407E-2</v>
      </c>
      <c r="E6">
        <v>0.92700287276761595</v>
      </c>
      <c r="F6">
        <v>2.3747326186550798E-2</v>
      </c>
      <c r="G6" s="3">
        <v>7.7633333330000003</v>
      </c>
      <c r="H6" s="3">
        <v>8.6940310939999996</v>
      </c>
    </row>
    <row r="7" spans="1:28" x14ac:dyDescent="0.35">
      <c r="A7" s="1">
        <v>39173</v>
      </c>
      <c r="B7">
        <v>2.67188988395591</v>
      </c>
      <c r="C7">
        <v>4.2371691548753398</v>
      </c>
      <c r="D7">
        <v>0.122947501713373</v>
      </c>
      <c r="E7">
        <v>1.1270391915070399</v>
      </c>
      <c r="F7">
        <v>-0.348104886941696</v>
      </c>
      <c r="G7" s="3">
        <v>8.4633333329999996</v>
      </c>
      <c r="H7" s="3">
        <v>8.7181134090000008</v>
      </c>
    </row>
    <row r="8" spans="1:28" x14ac:dyDescent="0.35">
      <c r="A8" s="1">
        <v>39264</v>
      </c>
      <c r="B8">
        <v>2.8724889956398401</v>
      </c>
      <c r="C8">
        <v>4.5758024267456303</v>
      </c>
      <c r="D8">
        <v>0.119835912417976</v>
      </c>
      <c r="E8">
        <v>1.4521298915976799</v>
      </c>
      <c r="F8">
        <v>0.23917285529802501</v>
      </c>
      <c r="G8" s="3">
        <v>9.1766666669999992</v>
      </c>
      <c r="H8" s="3">
        <v>3.517365936</v>
      </c>
    </row>
    <row r="9" spans="1:28" x14ac:dyDescent="0.35">
      <c r="A9" s="1">
        <v>39356</v>
      </c>
      <c r="B9">
        <v>2.9862991495567002</v>
      </c>
      <c r="C9">
        <v>4.8174722750955503</v>
      </c>
      <c r="D9">
        <v>8.8265389648735204E-2</v>
      </c>
      <c r="E9">
        <v>1.22039059980102</v>
      </c>
      <c r="F9">
        <v>0.29516779170265001</v>
      </c>
      <c r="G9" s="3">
        <v>9.26</v>
      </c>
      <c r="H9" s="3">
        <v>2.984621797</v>
      </c>
    </row>
    <row r="10" spans="1:28" x14ac:dyDescent="0.35">
      <c r="A10" s="1">
        <v>39448</v>
      </c>
      <c r="B10">
        <v>2.9230042404735799</v>
      </c>
      <c r="C10">
        <v>4.6416270089940603</v>
      </c>
      <c r="D10">
        <v>0.13075324143723999</v>
      </c>
      <c r="E10">
        <v>0.67482619597217297</v>
      </c>
      <c r="F10">
        <v>0.59894628637988601</v>
      </c>
      <c r="G10" s="3">
        <v>9.5166666670000009</v>
      </c>
      <c r="H10" s="3">
        <v>8.7587634179999991</v>
      </c>
    </row>
    <row r="11" spans="1:28" x14ac:dyDescent="0.35">
      <c r="A11" s="1">
        <v>39539</v>
      </c>
      <c r="B11">
        <v>2.9208396416304998</v>
      </c>
      <c r="C11">
        <v>4.6311118973256704</v>
      </c>
      <c r="D11">
        <v>0.13491418986544701</v>
      </c>
      <c r="E11">
        <v>0.225551291989632</v>
      </c>
      <c r="F11">
        <v>1.3105004002143299</v>
      </c>
      <c r="G11" s="3">
        <v>9.6666666669999994</v>
      </c>
      <c r="H11" s="3">
        <v>6.4805553490000003</v>
      </c>
    </row>
    <row r="12" spans="1:28" x14ac:dyDescent="0.35">
      <c r="A12" s="1">
        <v>39630</v>
      </c>
      <c r="B12">
        <v>2.9352261178760801</v>
      </c>
      <c r="C12">
        <v>4.7441835959388401</v>
      </c>
      <c r="D12">
        <v>8.1280430361015399E-2</v>
      </c>
      <c r="E12">
        <v>-0.393406694271562</v>
      </c>
      <c r="F12">
        <v>1.6286699845934201</v>
      </c>
      <c r="G12" s="3">
        <v>9.9513983330000002</v>
      </c>
      <c r="H12" s="3">
        <v>3.3260683599999998</v>
      </c>
      <c r="S12" s="2" t="s">
        <v>31</v>
      </c>
      <c r="T12" s="2"/>
    </row>
    <row r="13" spans="1:28" x14ac:dyDescent="0.35">
      <c r="A13" s="1">
        <v>39722</v>
      </c>
      <c r="B13">
        <v>2.71938825289552</v>
      </c>
      <c r="C13">
        <v>4.5281717066295997</v>
      </c>
      <c r="D13">
        <v>-4.6117469202228397E-3</v>
      </c>
      <c r="E13">
        <v>-2.4886917791229699</v>
      </c>
      <c r="F13">
        <v>1.3158937429065201</v>
      </c>
      <c r="G13" s="3">
        <v>9.7664126670000009</v>
      </c>
      <c r="H13" s="3">
        <v>4.3591355570000001</v>
      </c>
      <c r="S13" s="2" t="s">
        <v>32</v>
      </c>
      <c r="T13" s="2">
        <f>CORREL(B:B,G:G)</f>
        <v>0.67457795143746102</v>
      </c>
    </row>
    <row r="14" spans="1:28" x14ac:dyDescent="0.35">
      <c r="A14" s="1">
        <v>39814</v>
      </c>
      <c r="B14">
        <v>2.6372369528684199</v>
      </c>
      <c r="C14">
        <v>4.3303089035814697</v>
      </c>
      <c r="D14">
        <v>3.2264744043361097E-2</v>
      </c>
      <c r="E14">
        <v>-2.8795098330833802</v>
      </c>
      <c r="F14">
        <v>0.58887329763680096</v>
      </c>
      <c r="G14" s="3">
        <v>8.5737550000000002</v>
      </c>
      <c r="H14" s="3">
        <v>7.2248197320000003</v>
      </c>
      <c r="S14" s="2" t="s">
        <v>33</v>
      </c>
      <c r="T14" s="2">
        <f>CORREL(B:B, H:H)</f>
        <v>0.46729085106022678</v>
      </c>
    </row>
    <row r="15" spans="1:28" x14ac:dyDescent="0.35">
      <c r="A15" s="1">
        <v>39904</v>
      </c>
      <c r="B15">
        <v>2.5678639152128002</v>
      </c>
      <c r="C15">
        <v>4.2577675460174804</v>
      </c>
      <c r="D15">
        <v>6.5302145524486696E-3</v>
      </c>
      <c r="E15">
        <v>-2.85138227604671</v>
      </c>
      <c r="F15">
        <v>-1.5330786079429799</v>
      </c>
      <c r="G15" s="3">
        <v>5.9770686670000002</v>
      </c>
      <c r="H15" s="3">
        <v>4.8591097889999997</v>
      </c>
    </row>
    <row r="16" spans="1:28" x14ac:dyDescent="0.35">
      <c r="A16" s="1">
        <v>39995</v>
      </c>
      <c r="B16">
        <v>2.4005249435323899</v>
      </c>
      <c r="C16">
        <v>4.2033111994221599</v>
      </c>
      <c r="D16">
        <v>-0.12804960007160801</v>
      </c>
      <c r="E16">
        <v>-2.86412453421099</v>
      </c>
      <c r="F16">
        <v>-2.70957321317035</v>
      </c>
      <c r="G16" s="3">
        <v>4.3406153329999997</v>
      </c>
      <c r="H16" s="3">
        <v>2.1555893340000001</v>
      </c>
    </row>
    <row r="17" spans="1:17" x14ac:dyDescent="0.35">
      <c r="A17" s="1">
        <v>40087</v>
      </c>
      <c r="B17">
        <v>2.1404187205804499</v>
      </c>
      <c r="C17">
        <v>4.0970857854694396</v>
      </c>
      <c r="D17">
        <v>-0.32425408820991702</v>
      </c>
      <c r="E17">
        <v>-2.75951400001804</v>
      </c>
      <c r="F17">
        <v>-2.25747181343089</v>
      </c>
      <c r="G17" s="3">
        <v>3.6997426670000002</v>
      </c>
      <c r="H17" s="3">
        <v>1.027664183</v>
      </c>
    </row>
    <row r="18" spans="1:17" x14ac:dyDescent="0.35">
      <c r="A18" s="1">
        <v>40179</v>
      </c>
      <c r="B18">
        <v>1.9955881568776701</v>
      </c>
      <c r="C18">
        <v>3.7939745436048802</v>
      </c>
      <c r="D18">
        <v>-0.28674284239731401</v>
      </c>
      <c r="E18">
        <v>-1.9907866360706501</v>
      </c>
      <c r="F18">
        <v>-1.98292536996032</v>
      </c>
      <c r="G18" s="3">
        <v>3.345345</v>
      </c>
      <c r="H18" s="3">
        <v>5.2883655469999997</v>
      </c>
    </row>
    <row r="19" spans="1:17" x14ac:dyDescent="0.35">
      <c r="A19" s="1">
        <v>40269</v>
      </c>
      <c r="B19">
        <v>1.88298072505457</v>
      </c>
      <c r="C19">
        <v>3.6927922212968198</v>
      </c>
      <c r="D19">
        <v>-0.33848229840028599</v>
      </c>
      <c r="E19">
        <v>-1.19226638977125</v>
      </c>
      <c r="F19">
        <v>-1.51607488317746</v>
      </c>
      <c r="G19" s="3">
        <v>3.1797423330000001</v>
      </c>
      <c r="H19" s="3">
        <v>2.7797269020000002</v>
      </c>
    </row>
    <row r="20" spans="1:17" x14ac:dyDescent="0.35">
      <c r="A20" s="1">
        <v>40360</v>
      </c>
      <c r="B20">
        <v>1.71073916201323</v>
      </c>
      <c r="C20">
        <v>3.5966997667873501</v>
      </c>
      <c r="D20">
        <v>-0.45291778361934398</v>
      </c>
      <c r="E20">
        <v>-1.1753019708594401</v>
      </c>
      <c r="F20">
        <v>-1.28239088158339</v>
      </c>
      <c r="G20" s="3">
        <v>3.0344630000000001</v>
      </c>
      <c r="H20" s="3">
        <v>1.3287022470000001</v>
      </c>
      <c r="I20" t="s">
        <v>22</v>
      </c>
      <c r="M20" t="s">
        <v>23</v>
      </c>
    </row>
    <row r="21" spans="1:17" x14ac:dyDescent="0.35">
      <c r="A21" s="1">
        <v>40452</v>
      </c>
      <c r="B21">
        <v>1.69644388597887</v>
      </c>
      <c r="C21">
        <v>3.6729622196727498</v>
      </c>
      <c r="D21">
        <v>-0.51309005706120303</v>
      </c>
      <c r="E21">
        <v>-8.9252087974500696E-2</v>
      </c>
      <c r="F21">
        <v>-1.30659880168258</v>
      </c>
      <c r="G21" s="3">
        <v>3.027173667</v>
      </c>
      <c r="H21" s="3">
        <v>1.1525196339999999</v>
      </c>
      <c r="I21" t="s">
        <v>24</v>
      </c>
      <c r="J21">
        <v>0.16337974105705599</v>
      </c>
      <c r="M21">
        <v>-328.81700010736699</v>
      </c>
    </row>
    <row r="22" spans="1:17" x14ac:dyDescent="0.35">
      <c r="A22" s="1">
        <v>40544</v>
      </c>
      <c r="B22">
        <v>1.8643723084505499</v>
      </c>
      <c r="C22">
        <v>3.61836039207224</v>
      </c>
      <c r="D22">
        <v>-0.31231496091856598</v>
      </c>
      <c r="E22">
        <v>1.3361699128881801</v>
      </c>
      <c r="F22">
        <v>-1.4060118760409199</v>
      </c>
      <c r="G22" s="3">
        <v>3.1408876669999999</v>
      </c>
      <c r="H22" s="3">
        <v>5.4691601539999999</v>
      </c>
      <c r="I22" t="s">
        <v>25</v>
      </c>
      <c r="J22">
        <v>6.6717184004667598E-2</v>
      </c>
    </row>
    <row r="23" spans="1:17" x14ac:dyDescent="0.35">
      <c r="A23" s="1">
        <v>40634</v>
      </c>
      <c r="B23">
        <v>1.86677288868217</v>
      </c>
      <c r="C23">
        <v>3.6707931578203299</v>
      </c>
      <c r="D23">
        <v>-0.34145621768906997</v>
      </c>
      <c r="E23">
        <v>1.6777242919142701</v>
      </c>
      <c r="F23">
        <v>-0.64087166760478698</v>
      </c>
      <c r="G23" s="3">
        <v>3.8368026670000002</v>
      </c>
      <c r="H23" s="3">
        <v>2.493223747</v>
      </c>
    </row>
    <row r="24" spans="1:17" x14ac:dyDescent="0.35">
      <c r="A24" s="1">
        <v>40725</v>
      </c>
      <c r="B24">
        <v>1.95614977176754</v>
      </c>
      <c r="C24">
        <v>3.8055367275352698</v>
      </c>
      <c r="D24">
        <v>-0.33313665920587898</v>
      </c>
      <c r="E24">
        <v>2.3697631808318</v>
      </c>
      <c r="F24">
        <v>-0.37139490944957099</v>
      </c>
      <c r="G24" s="3">
        <v>4.4800383330000004</v>
      </c>
      <c r="H24" s="3">
        <v>2.4662303479999999</v>
      </c>
    </row>
    <row r="25" spans="1:17" x14ac:dyDescent="0.35">
      <c r="A25" s="1">
        <v>40817</v>
      </c>
      <c r="B25">
        <v>1.98433085015896</v>
      </c>
      <c r="C25">
        <v>3.8492355881016498</v>
      </c>
      <c r="D25">
        <v>-0.33124338611135101</v>
      </c>
      <c r="E25">
        <v>2.0608616438646501</v>
      </c>
      <c r="F25">
        <v>-0.697924216343635</v>
      </c>
      <c r="G25" s="3">
        <v>4.6727093330000002</v>
      </c>
      <c r="H25" s="3">
        <v>3.116596548</v>
      </c>
      <c r="I25" t="s">
        <v>26</v>
      </c>
    </row>
    <row r="26" spans="1:17" x14ac:dyDescent="0.35">
      <c r="A26" s="1">
        <v>40909</v>
      </c>
      <c r="B26">
        <v>2.2107687504858702</v>
      </c>
      <c r="C26">
        <v>3.86899293855957</v>
      </c>
      <c r="D26">
        <v>-0.11669086163380001</v>
      </c>
      <c r="E26">
        <v>2.7518751405548301</v>
      </c>
      <c r="F26">
        <v>-0.731606828854237</v>
      </c>
      <c r="G26" s="3">
        <v>5.0209323330000002</v>
      </c>
      <c r="H26" s="3">
        <v>6.0910310030000003</v>
      </c>
      <c r="I26" t="s">
        <v>27</v>
      </c>
    </row>
    <row r="27" spans="1:17" x14ac:dyDescent="0.35">
      <c r="A27" s="1">
        <v>41000</v>
      </c>
      <c r="B27">
        <v>2.1059292578347901</v>
      </c>
      <c r="C27">
        <v>3.9326102803368901</v>
      </c>
      <c r="D27">
        <v>-0.25980046642218402</v>
      </c>
      <c r="E27">
        <v>1.8679966363361</v>
      </c>
      <c r="F27">
        <v>-0.33898061292929599</v>
      </c>
      <c r="G27" s="3">
        <v>5.2731856669999999</v>
      </c>
      <c r="H27" s="3">
        <v>2.3510901880000001</v>
      </c>
      <c r="I27">
        <v>1181.0629236843199</v>
      </c>
      <c r="J27">
        <v>1180.00189187042</v>
      </c>
      <c r="K27">
        <v>1178.9406082033699</v>
      </c>
      <c r="L27">
        <v>1.06103181390438</v>
      </c>
      <c r="M27">
        <v>1.06128366704876</v>
      </c>
      <c r="N27">
        <v>1.0613782551987001</v>
      </c>
      <c r="O27">
        <v>0</v>
      </c>
      <c r="P27">
        <v>0</v>
      </c>
      <c r="Q27">
        <v>0</v>
      </c>
    </row>
    <row r="28" spans="1:17" x14ac:dyDescent="0.35">
      <c r="A28" s="1">
        <v>41091</v>
      </c>
      <c r="B28">
        <v>1.8878211272673</v>
      </c>
      <c r="C28">
        <v>3.8945356338115502</v>
      </c>
      <c r="D28">
        <v>-0.45500413491369801</v>
      </c>
      <c r="E28">
        <v>0.31892388435312602</v>
      </c>
      <c r="F28">
        <v>-0.14969789128583799</v>
      </c>
      <c r="G28" s="3">
        <v>5.0730760000000004</v>
      </c>
      <c r="H28" s="3">
        <v>1.7810933170000001</v>
      </c>
    </row>
    <row r="29" spans="1:17" x14ac:dyDescent="0.35">
      <c r="A29" s="1">
        <v>41183</v>
      </c>
      <c r="B29">
        <v>1.8040115253420499</v>
      </c>
      <c r="C29">
        <v>3.9904927931914802</v>
      </c>
      <c r="D29">
        <v>-0.59653842553627401</v>
      </c>
      <c r="E29">
        <v>0.182153266891419</v>
      </c>
      <c r="F29">
        <v>-8.1835395711058495E-2</v>
      </c>
      <c r="G29" s="3">
        <v>4.6548796670000003</v>
      </c>
      <c r="H29" s="3">
        <v>1.50759964</v>
      </c>
      <c r="I29" t="s">
        <v>28</v>
      </c>
    </row>
    <row r="30" spans="1:17" x14ac:dyDescent="0.35">
      <c r="A30" s="1">
        <v>41275</v>
      </c>
      <c r="B30">
        <v>1.8946266108617</v>
      </c>
      <c r="C30">
        <v>3.9841647335209398</v>
      </c>
      <c r="D30">
        <v>-0.50211658628506695</v>
      </c>
      <c r="E30">
        <v>0.53597088356195899</v>
      </c>
      <c r="F30">
        <v>-0.312452053844748</v>
      </c>
      <c r="G30" s="3">
        <v>3.9526463330000001</v>
      </c>
      <c r="H30" s="3">
        <v>3.8421039600000002</v>
      </c>
      <c r="I30">
        <v>0.60236029043426698</v>
      </c>
      <c r="J30">
        <v>0.2</v>
      </c>
      <c r="K30">
        <v>0</v>
      </c>
      <c r="L30">
        <v>0.2</v>
      </c>
      <c r="M30">
        <v>0.2</v>
      </c>
      <c r="N30">
        <v>0</v>
      </c>
      <c r="O30">
        <v>0</v>
      </c>
      <c r="P30">
        <v>0</v>
      </c>
      <c r="Q30">
        <v>0</v>
      </c>
    </row>
    <row r="31" spans="1:17" x14ac:dyDescent="0.35">
      <c r="A31" s="1">
        <v>41365</v>
      </c>
      <c r="B31">
        <v>2.1547775387374002</v>
      </c>
      <c r="C31">
        <v>4.1954352468029796</v>
      </c>
      <c r="D31">
        <v>-0.369059089362691</v>
      </c>
      <c r="E31">
        <v>2.2711026353868</v>
      </c>
      <c r="F31">
        <v>-1.5665589107444999</v>
      </c>
      <c r="G31" s="3">
        <v>3.1681919999999999</v>
      </c>
      <c r="H31" s="3">
        <v>3.1890965699999998</v>
      </c>
      <c r="I31">
        <v>0.2</v>
      </c>
      <c r="J31">
        <v>0.2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</row>
    <row r="32" spans="1:17" x14ac:dyDescent="0.35">
      <c r="A32" s="1">
        <v>41456</v>
      </c>
      <c r="B32">
        <v>2.0067044570118799</v>
      </c>
      <c r="C32">
        <v>4.1924473028447098</v>
      </c>
      <c r="D32">
        <v>-0.51533472172694506</v>
      </c>
      <c r="E32">
        <v>1.33779576178836</v>
      </c>
      <c r="F32">
        <v>-1.2954160659414</v>
      </c>
      <c r="G32" s="3">
        <v>3.2471676669999998</v>
      </c>
      <c r="H32" s="3">
        <v>1.6047169320000001</v>
      </c>
      <c r="I32">
        <v>0</v>
      </c>
      <c r="J32">
        <v>0</v>
      </c>
      <c r="K32">
        <v>0.2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</row>
    <row r="33" spans="1:17" x14ac:dyDescent="0.35">
      <c r="A33" s="1">
        <v>41548</v>
      </c>
      <c r="B33">
        <v>1.91308892124524</v>
      </c>
      <c r="C33">
        <v>4.2699481481596697</v>
      </c>
      <c r="D33">
        <v>-0.655572231283712</v>
      </c>
      <c r="E33">
        <v>1.3605783193618199</v>
      </c>
      <c r="F33">
        <v>-1.1056952106729601</v>
      </c>
      <c r="G33" s="3">
        <v>3.2556306670000001</v>
      </c>
      <c r="H33" s="3">
        <v>1.157030362</v>
      </c>
      <c r="I33">
        <v>0.2</v>
      </c>
      <c r="J33">
        <v>0</v>
      </c>
      <c r="K33">
        <v>0</v>
      </c>
      <c r="L33">
        <v>0.205401591048018</v>
      </c>
      <c r="M33">
        <v>0.2</v>
      </c>
      <c r="N33">
        <v>0</v>
      </c>
      <c r="O33">
        <v>0</v>
      </c>
      <c r="P33">
        <v>0</v>
      </c>
      <c r="Q33">
        <v>0</v>
      </c>
    </row>
    <row r="34" spans="1:17" x14ac:dyDescent="0.35">
      <c r="A34" s="1">
        <v>41640</v>
      </c>
      <c r="B34">
        <v>2.0637006722840998</v>
      </c>
      <c r="C34">
        <v>4.2514535364824697</v>
      </c>
      <c r="D34">
        <v>-0.49383472674668899</v>
      </c>
      <c r="E34">
        <v>1.9849366443315799</v>
      </c>
      <c r="F34">
        <v>-1.3637751430232301</v>
      </c>
      <c r="G34" s="3">
        <v>3.216093769</v>
      </c>
      <c r="H34" s="3">
        <v>4.1138290929999997</v>
      </c>
      <c r="I34">
        <v>0.2</v>
      </c>
      <c r="J34">
        <v>0</v>
      </c>
      <c r="K34">
        <v>0</v>
      </c>
      <c r="L34">
        <v>0.2</v>
      </c>
      <c r="M34">
        <v>0.2</v>
      </c>
      <c r="N34">
        <v>0</v>
      </c>
      <c r="O34">
        <v>0</v>
      </c>
      <c r="P34">
        <v>0</v>
      </c>
      <c r="Q34">
        <v>0</v>
      </c>
    </row>
    <row r="35" spans="1:17" x14ac:dyDescent="0.35">
      <c r="A35" s="1">
        <v>41730</v>
      </c>
      <c r="B35">
        <v>2.0643184283686602</v>
      </c>
      <c r="C35">
        <v>4.1418794764399296</v>
      </c>
      <c r="D35">
        <v>-0.42730079988205599</v>
      </c>
      <c r="E35">
        <v>1.5328472565943201</v>
      </c>
      <c r="F35">
        <v>-1.22347462169574</v>
      </c>
      <c r="G35" s="3">
        <v>3.523331759</v>
      </c>
      <c r="H35" s="3">
        <v>3.8543754240000001</v>
      </c>
      <c r="I35">
        <v>0</v>
      </c>
      <c r="J35">
        <v>0</v>
      </c>
      <c r="K35">
        <v>0</v>
      </c>
      <c r="L35">
        <v>0</v>
      </c>
      <c r="M35">
        <v>0</v>
      </c>
      <c r="N35">
        <v>0.2</v>
      </c>
      <c r="O35">
        <v>0</v>
      </c>
      <c r="P35">
        <v>0</v>
      </c>
      <c r="Q35">
        <v>0</v>
      </c>
    </row>
    <row r="36" spans="1:17" x14ac:dyDescent="0.35">
      <c r="A36" s="1">
        <v>41821</v>
      </c>
      <c r="B36">
        <v>1.9857592640223101</v>
      </c>
      <c r="C36">
        <v>4.16133466167169</v>
      </c>
      <c r="D36">
        <v>-0.51756356736036901</v>
      </c>
      <c r="E36">
        <v>1.34673278112678</v>
      </c>
      <c r="F36">
        <v>-0.65283225136242695</v>
      </c>
      <c r="G36" s="3">
        <v>4.1552902469999999</v>
      </c>
      <c r="H36" s="3">
        <v>2.1642180600000001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0.32403794000837499</v>
      </c>
      <c r="P36">
        <v>0.2</v>
      </c>
      <c r="Q36">
        <v>0</v>
      </c>
    </row>
    <row r="37" spans="1:17" x14ac:dyDescent="0.35">
      <c r="A37" s="1">
        <v>41913</v>
      </c>
      <c r="B37">
        <v>1.92467075992374</v>
      </c>
      <c r="C37">
        <v>4.1930987932374997</v>
      </c>
      <c r="D37">
        <v>-0.59776033412767005</v>
      </c>
      <c r="E37">
        <v>1.1612376414539101</v>
      </c>
      <c r="F37">
        <v>-0.50963346565779899</v>
      </c>
      <c r="G37" s="3">
        <v>4.5042428880000003</v>
      </c>
      <c r="H37" s="3">
        <v>2.2243997960000002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0.2</v>
      </c>
      <c r="P37">
        <v>0.2</v>
      </c>
      <c r="Q37">
        <v>0</v>
      </c>
    </row>
    <row r="38" spans="1:17" x14ac:dyDescent="0.35">
      <c r="A38" s="1">
        <v>42005</v>
      </c>
      <c r="B38">
        <v>2.0955854788072501</v>
      </c>
      <c r="C38">
        <v>4.0863298531533196</v>
      </c>
      <c r="D38">
        <v>-0.36261691288647202</v>
      </c>
      <c r="E38">
        <v>1.3117512998085199</v>
      </c>
      <c r="F38">
        <v>-1.0163637137039401</v>
      </c>
      <c r="G38" s="3">
        <v>4.5150796670000002</v>
      </c>
      <c r="H38" s="3">
        <v>5.5004383260000003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0.2</v>
      </c>
    </row>
    <row r="39" spans="1:17" x14ac:dyDescent="0.35">
      <c r="A39" s="1">
        <v>42095</v>
      </c>
      <c r="B39">
        <v>2.2381505626120899</v>
      </c>
      <c r="C39">
        <v>3.9973141496837901</v>
      </c>
      <c r="D39">
        <v>-0.16650289323195799</v>
      </c>
      <c r="E39">
        <v>1.48842194114877</v>
      </c>
      <c r="F39">
        <v>-1.6036783391809599</v>
      </c>
      <c r="G39" s="3">
        <v>4.5189963329999996</v>
      </c>
      <c r="H39" s="3">
        <v>5.6490402570000002</v>
      </c>
    </row>
    <row r="40" spans="1:17" x14ac:dyDescent="0.35">
      <c r="A40" s="1">
        <v>42186</v>
      </c>
      <c r="B40">
        <v>2.1686509653550301</v>
      </c>
      <c r="C40">
        <v>4.0076316065237396</v>
      </c>
      <c r="D40">
        <v>-0.242209135080028</v>
      </c>
      <c r="E40">
        <v>1.37842892948925</v>
      </c>
      <c r="F40">
        <v>-1.8648729835203799</v>
      </c>
      <c r="G40" s="3">
        <v>4.5461543329999996</v>
      </c>
      <c r="H40" s="3">
        <v>3.5956270259999998</v>
      </c>
    </row>
    <row r="41" spans="1:17" x14ac:dyDescent="0.35">
      <c r="A41" s="1">
        <v>42278</v>
      </c>
      <c r="B41">
        <v>2.1702971935717001</v>
      </c>
      <c r="C41">
        <v>3.7853595353329101</v>
      </c>
      <c r="D41">
        <v>-0.106851298490288</v>
      </c>
      <c r="E41">
        <v>0.89563104925355197</v>
      </c>
      <c r="F41">
        <v>-2.1957342380222902</v>
      </c>
      <c r="G41" s="3">
        <v>5.1915643329999996</v>
      </c>
      <c r="H41" s="3">
        <v>6.1228999020000003</v>
      </c>
    </row>
    <row r="42" spans="1:17" x14ac:dyDescent="0.35">
      <c r="A42" s="1">
        <v>42370</v>
      </c>
      <c r="B42">
        <v>2.5539284251923302</v>
      </c>
      <c r="C42">
        <v>3.56100030966229</v>
      </c>
      <c r="D42">
        <v>0.411747105375734</v>
      </c>
      <c r="E42">
        <v>2.1614006691252099</v>
      </c>
      <c r="F42">
        <v>-2.8586813167748302</v>
      </c>
      <c r="G42" s="3">
        <v>6.0690196670000001</v>
      </c>
      <c r="H42" s="3">
        <v>10.127523050000001</v>
      </c>
    </row>
    <row r="43" spans="1:17" x14ac:dyDescent="0.35">
      <c r="A43" s="1">
        <v>42461</v>
      </c>
      <c r="B43">
        <v>2.4987344361121702</v>
      </c>
      <c r="C43">
        <v>3.45963622828127</v>
      </c>
      <c r="D43">
        <v>0.41753043242937199</v>
      </c>
      <c r="E43">
        <v>2.0934747979540602</v>
      </c>
      <c r="F43">
        <v>-2.3333931254024001</v>
      </c>
      <c r="G43" s="3">
        <v>6.948258</v>
      </c>
      <c r="H43" s="3">
        <v>7.2856167809999999</v>
      </c>
    </row>
    <row r="44" spans="1:17" x14ac:dyDescent="0.35">
      <c r="A44" s="1">
        <v>42552</v>
      </c>
      <c r="B44">
        <v>2.1319654036532798</v>
      </c>
      <c r="C44">
        <v>3.4468739213705599</v>
      </c>
      <c r="D44">
        <v>5.84387864025167E-2</v>
      </c>
      <c r="E44">
        <v>1.14421876954657</v>
      </c>
      <c r="F44">
        <v>-1.4575543162478799</v>
      </c>
      <c r="G44" s="3">
        <v>7.6659433330000004</v>
      </c>
      <c r="H44" s="3">
        <v>4.4300892530000002</v>
      </c>
    </row>
    <row r="45" spans="1:17" x14ac:dyDescent="0.35">
      <c r="A45" s="1">
        <v>42644</v>
      </c>
      <c r="B45">
        <v>1.6969353846285899</v>
      </c>
      <c r="C45">
        <v>3.5060711556205799</v>
      </c>
      <c r="D45">
        <v>-0.41220235263559801</v>
      </c>
      <c r="E45">
        <v>0.150913224475516</v>
      </c>
      <c r="F45">
        <v>-0.25671876873342397</v>
      </c>
      <c r="G45" s="3">
        <v>7.7209963330000004</v>
      </c>
      <c r="H45" s="3">
        <v>3.2798897880000002</v>
      </c>
    </row>
    <row r="46" spans="1:17" x14ac:dyDescent="0.35">
      <c r="A46" s="1">
        <v>42736</v>
      </c>
      <c r="B46">
        <v>1.8204805007037801</v>
      </c>
      <c r="C46">
        <v>3.30898939502756</v>
      </c>
      <c r="D46">
        <v>-0.17009929516584699</v>
      </c>
      <c r="E46">
        <v>0.119344724637358</v>
      </c>
      <c r="F46">
        <v>-0.30200330830939898</v>
      </c>
      <c r="G46" s="3">
        <v>7.3837469999999996</v>
      </c>
      <c r="H46" s="3">
        <v>8.4654834090000008</v>
      </c>
    </row>
    <row r="47" spans="1:17" x14ac:dyDescent="0.35">
      <c r="A47" s="1">
        <v>42826</v>
      </c>
      <c r="B47">
        <v>1.7424318807610599</v>
      </c>
      <c r="C47">
        <v>3.2667244522865602</v>
      </c>
      <c r="D47">
        <v>-0.22272270787755</v>
      </c>
      <c r="E47">
        <v>-0.20612166188470801</v>
      </c>
      <c r="F47">
        <v>-0.65019970064866095</v>
      </c>
      <c r="G47" s="3">
        <v>6.5788979999999997</v>
      </c>
      <c r="H47" s="3">
        <v>5.7712008299999997</v>
      </c>
    </row>
    <row r="48" spans="1:17" x14ac:dyDescent="0.35">
      <c r="A48" s="1">
        <v>42917</v>
      </c>
      <c r="B48">
        <v>1.26514072366423</v>
      </c>
      <c r="C48">
        <v>3.3692834054505001</v>
      </c>
      <c r="D48">
        <v>-0.761709976893156</v>
      </c>
      <c r="E48">
        <v>-1.27479399556364</v>
      </c>
      <c r="F48">
        <v>-0.44399176105954402</v>
      </c>
      <c r="G48" s="3">
        <v>5.5069660000000002</v>
      </c>
      <c r="H48" s="3">
        <v>1.2266941229999999</v>
      </c>
    </row>
    <row r="49" spans="1:8" x14ac:dyDescent="0.35">
      <c r="A49" s="1">
        <v>43009</v>
      </c>
      <c r="B49">
        <v>0.90541715046017501</v>
      </c>
      <c r="C49">
        <v>3.3329291137795898</v>
      </c>
      <c r="D49">
        <v>-1.09956399723554</v>
      </c>
      <c r="E49">
        <v>-2.1158952438306602</v>
      </c>
      <c r="F49">
        <v>-0.26161276667174699</v>
      </c>
      <c r="G49" s="3">
        <v>4.9821656670000003</v>
      </c>
      <c r="H49" s="3">
        <v>1.89006677</v>
      </c>
    </row>
    <row r="50" spans="1:8" x14ac:dyDescent="0.35">
      <c r="A50" s="1">
        <v>43101</v>
      </c>
      <c r="B50">
        <v>0.98752772076948603</v>
      </c>
      <c r="C50">
        <v>3.1358335478483199</v>
      </c>
      <c r="D50">
        <v>-0.89888718069170703</v>
      </c>
      <c r="E50">
        <v>-1.74753033250863</v>
      </c>
      <c r="F50">
        <v>-9.6326305774952797E-2</v>
      </c>
      <c r="G50" s="3">
        <v>4.566865</v>
      </c>
      <c r="H50" s="3">
        <v>5.8146926170000004</v>
      </c>
    </row>
    <row r="51" spans="1:8" x14ac:dyDescent="0.35">
      <c r="A51" s="1">
        <v>43191</v>
      </c>
      <c r="B51">
        <v>1.0451414506648899</v>
      </c>
      <c r="C51">
        <v>3.1104678218344302</v>
      </c>
      <c r="D51">
        <v>-0.82601425964062403</v>
      </c>
      <c r="E51">
        <v>-0.93076788849089098</v>
      </c>
      <c r="F51">
        <v>2.06703922854823E-4</v>
      </c>
      <c r="G51" s="3">
        <v>4.3071780000000004</v>
      </c>
      <c r="H51" s="3">
        <v>4.1158658719999996</v>
      </c>
    </row>
    <row r="52" spans="1:8" x14ac:dyDescent="0.35">
      <c r="A52" s="1">
        <v>43282</v>
      </c>
      <c r="B52">
        <v>0.817904321416697</v>
      </c>
      <c r="C52">
        <v>3.1452742504098601</v>
      </c>
      <c r="D52">
        <v>-1.07418979793684</v>
      </c>
      <c r="E52">
        <v>-1.24124320184274</v>
      </c>
      <c r="F52">
        <v>0.156829415845335</v>
      </c>
      <c r="G52" s="3">
        <v>4.255877667</v>
      </c>
      <c r="H52" s="3">
        <v>1.303950459</v>
      </c>
    </row>
    <row r="53" spans="1:8" x14ac:dyDescent="0.35">
      <c r="A53" s="1">
        <v>43374</v>
      </c>
      <c r="B53">
        <v>0.59235699178117596</v>
      </c>
      <c r="C53">
        <v>3.0850059082846699</v>
      </c>
      <c r="D53">
        <v>-1.26348166409301</v>
      </c>
      <c r="E53">
        <v>-1.9186389677104201</v>
      </c>
      <c r="F53">
        <v>0.40905859678384299</v>
      </c>
      <c r="G53" s="3">
        <v>4.2537399999999996</v>
      </c>
      <c r="H53" s="3">
        <v>1.7747886980000001</v>
      </c>
    </row>
    <row r="54" spans="1:8" x14ac:dyDescent="0.35">
      <c r="A54" s="1">
        <v>43466</v>
      </c>
      <c r="B54">
        <v>0.86650960647666497</v>
      </c>
      <c r="C54">
        <v>2.9747374059372298</v>
      </c>
      <c r="D54">
        <v>-0.922995124839329</v>
      </c>
      <c r="E54">
        <v>-0.89622873258008395</v>
      </c>
      <c r="F54">
        <v>0.20818805495607701</v>
      </c>
      <c r="G54" s="3">
        <v>4.255531392</v>
      </c>
      <c r="H54" s="3">
        <v>5.5287298939999996</v>
      </c>
    </row>
    <row r="55" spans="1:8" x14ac:dyDescent="0.35">
      <c r="A55" s="1">
        <v>43556</v>
      </c>
      <c r="B55">
        <v>1.03252278297206</v>
      </c>
      <c r="C55">
        <v>2.92201763718109</v>
      </c>
      <c r="D55">
        <v>-0.72526745971892004</v>
      </c>
      <c r="E55">
        <v>-0.28607008942617501</v>
      </c>
      <c r="F55">
        <v>-9.9165665886174606E-2</v>
      </c>
      <c r="G55" s="3">
        <v>4.260797073</v>
      </c>
      <c r="H55" s="3">
        <v>4.7022907749999998</v>
      </c>
    </row>
    <row r="56" spans="1:8" x14ac:dyDescent="0.35">
      <c r="A56" s="1">
        <v>43647</v>
      </c>
      <c r="B56">
        <v>0.91325615315012998</v>
      </c>
      <c r="C56">
        <v>2.97751833323517</v>
      </c>
      <c r="D56">
        <v>-0.87792149307498901</v>
      </c>
      <c r="E56">
        <v>-0.375101297570609</v>
      </c>
      <c r="F56">
        <v>-0.19188972637712501</v>
      </c>
      <c r="G56" s="3">
        <v>4.2632982830000001</v>
      </c>
      <c r="H56" s="3">
        <v>2.161918059</v>
      </c>
    </row>
    <row r="57" spans="1:8" x14ac:dyDescent="0.35">
      <c r="A57" s="1">
        <v>43739</v>
      </c>
      <c r="B57">
        <v>0.70889065997613698</v>
      </c>
      <c r="C57">
        <v>2.8942178366959599</v>
      </c>
      <c r="D57">
        <v>-1.03217613196639</v>
      </c>
      <c r="E57">
        <v>-1.2281850755739501</v>
      </c>
      <c r="F57">
        <v>-0.18686058309992201</v>
      </c>
      <c r="G57" s="3">
        <v>4.2577139309999996</v>
      </c>
      <c r="H57" s="3">
        <v>2.54979669</v>
      </c>
    </row>
    <row r="58" spans="1:8" x14ac:dyDescent="0.35">
      <c r="A58" s="1">
        <v>43831</v>
      </c>
      <c r="B58">
        <v>0.63538980460039396</v>
      </c>
      <c r="C58">
        <v>2.5774379718279099</v>
      </c>
      <c r="D58">
        <v>-0.91511258127536699</v>
      </c>
      <c r="E58">
        <v>-2.2274515762903802</v>
      </c>
      <c r="F58">
        <v>-3.3231860402873702E-2</v>
      </c>
      <c r="G58" s="3">
        <v>4.2308909999999997</v>
      </c>
      <c r="H58" s="3">
        <v>5.1009266999999996</v>
      </c>
    </row>
    <row r="59" spans="1:8" x14ac:dyDescent="0.35">
      <c r="A59" s="1">
        <v>43922</v>
      </c>
      <c r="B59">
        <v>-1.5523630014777701</v>
      </c>
      <c r="C59">
        <v>0.71164027507483896</v>
      </c>
      <c r="D59">
        <v>-1.9804625159760001</v>
      </c>
      <c r="E59">
        <v>-16.0733078685907</v>
      </c>
      <c r="F59">
        <v>2.0646160682942201</v>
      </c>
      <c r="G59" s="3">
        <v>3.2199653330000002</v>
      </c>
      <c r="H59" s="3">
        <v>1.0182076179999999</v>
      </c>
    </row>
    <row r="60" spans="1:8" x14ac:dyDescent="0.35">
      <c r="A60" s="1">
        <v>44013</v>
      </c>
      <c r="B60">
        <v>-0.99948342416012104</v>
      </c>
      <c r="C60">
        <v>1.2194082316070201</v>
      </c>
      <c r="D60">
        <v>-1.73303953419227</v>
      </c>
      <c r="E60">
        <v>-7.6661413962283396</v>
      </c>
      <c r="F60">
        <v>0.980195191189556</v>
      </c>
      <c r="G60" s="3">
        <v>2.2263266669999999</v>
      </c>
      <c r="H60" s="3">
        <v>0.31352859100000002</v>
      </c>
    </row>
    <row r="61" spans="1:8" x14ac:dyDescent="0.35">
      <c r="A61" s="1">
        <v>44105</v>
      </c>
      <c r="B61">
        <v>-0.56710614639055001</v>
      </c>
      <c r="C61">
        <v>1.5278001594871</v>
      </c>
      <c r="D61">
        <v>-1.4861807539343099</v>
      </c>
      <c r="E61">
        <v>-2.90102227304578</v>
      </c>
      <c r="F61">
        <v>0.28111163918274201</v>
      </c>
      <c r="G61" s="3">
        <v>1.7535923330000001</v>
      </c>
      <c r="H61" s="3">
        <v>1.725684453</v>
      </c>
    </row>
    <row r="62" spans="1:8" x14ac:dyDescent="0.35">
      <c r="A62" s="1">
        <v>44197</v>
      </c>
      <c r="B62">
        <v>-2.3288471498027902E-2</v>
      </c>
      <c r="C62">
        <v>1.7246829261101599</v>
      </c>
      <c r="D62">
        <v>-1.0608013121723301</v>
      </c>
      <c r="E62">
        <v>0.53191144979928096</v>
      </c>
      <c r="F62">
        <v>2.1156416286499901E-2</v>
      </c>
      <c r="G62" s="3">
        <v>1.7350083329999999</v>
      </c>
      <c r="H62" s="3">
        <v>3.8911408920000001</v>
      </c>
    </row>
    <row r="63" spans="1:8" x14ac:dyDescent="0.35">
      <c r="A63" s="1">
        <v>44287</v>
      </c>
      <c r="B63">
        <v>7.2486584236318999E-2</v>
      </c>
      <c r="C63">
        <v>1.36851592676969</v>
      </c>
      <c r="D63">
        <v>-0.75076783847266004</v>
      </c>
      <c r="E63">
        <v>-0.63805465326549904</v>
      </c>
      <c r="F63">
        <v>-1.04974385363677</v>
      </c>
      <c r="G63" s="3">
        <v>1.7508536669999999</v>
      </c>
      <c r="H63" s="3">
        <v>4.9820898079999996</v>
      </c>
    </row>
    <row r="64" spans="1:8" x14ac:dyDescent="0.35">
      <c r="A64" s="1">
        <v>44378</v>
      </c>
      <c r="B64">
        <v>0.71737612220528302</v>
      </c>
      <c r="C64">
        <v>1.75676146758282</v>
      </c>
      <c r="D64">
        <v>-0.33943411985459099</v>
      </c>
      <c r="E64">
        <v>3.5168669735715001</v>
      </c>
      <c r="F64">
        <v>-2.7216288727440201</v>
      </c>
      <c r="G64" s="3">
        <v>1.768146</v>
      </c>
      <c r="H64" s="3">
        <v>4.4906798490000002</v>
      </c>
    </row>
    <row r="65" spans="1:8" x14ac:dyDescent="0.35">
      <c r="A65" s="1">
        <v>44470</v>
      </c>
      <c r="B65">
        <v>0.881815968953642</v>
      </c>
      <c r="C65">
        <v>2.1289399856746001</v>
      </c>
      <c r="D65">
        <v>-0.39888469707781599</v>
      </c>
      <c r="E65">
        <v>5.3193395588964396</v>
      </c>
      <c r="F65">
        <v>-2.5411709052265499</v>
      </c>
      <c r="G65" s="3">
        <v>2.4348163330000001</v>
      </c>
      <c r="H65" s="3">
        <v>3.0127745300000002</v>
      </c>
    </row>
    <row r="66" spans="1:8" x14ac:dyDescent="0.35">
      <c r="A66" s="1">
        <v>44562</v>
      </c>
      <c r="B66">
        <v>1.9514743396054399</v>
      </c>
      <c r="C66">
        <v>1.9710129524614499</v>
      </c>
      <c r="D66">
        <v>0.76577741157571999</v>
      </c>
      <c r="E66">
        <v>7.7209274569481696</v>
      </c>
      <c r="F66">
        <v>-4.5861753863437302</v>
      </c>
      <c r="G66" s="3">
        <v>3.7485533329999998</v>
      </c>
      <c r="H66" s="3">
        <v>13.047473330000001</v>
      </c>
    </row>
    <row r="67" spans="1:8" x14ac:dyDescent="0.35">
      <c r="A67" s="1">
        <v>44652</v>
      </c>
      <c r="B67">
        <v>2.5925910501670701</v>
      </c>
      <c r="C67">
        <v>2.0244791455693201</v>
      </c>
      <c r="D67">
        <v>1.37473060903497</v>
      </c>
      <c r="E67">
        <v>9.2956355185201591</v>
      </c>
      <c r="F67">
        <v>-4.97867969895933</v>
      </c>
      <c r="G67" s="3">
        <v>5.7409346670000003</v>
      </c>
      <c r="H67" s="3">
        <v>11.957165549999999</v>
      </c>
    </row>
    <row r="68" spans="1:8" x14ac:dyDescent="0.35">
      <c r="A68" s="1">
        <v>44743</v>
      </c>
      <c r="B68">
        <v>2.7243632196112402</v>
      </c>
      <c r="C68">
        <v>2.14513329184937</v>
      </c>
      <c r="D68">
        <v>1.4339211902051301</v>
      </c>
      <c r="E68">
        <v>9.3380231165815495</v>
      </c>
      <c r="F68">
        <v>-3.69163714885793</v>
      </c>
      <c r="G68" s="3">
        <v>8.5270886669999992</v>
      </c>
      <c r="H68" s="3">
        <v>9.9600369709999992</v>
      </c>
    </row>
    <row r="69" spans="1:8" x14ac:dyDescent="0.35">
      <c r="A69" s="1">
        <v>44835</v>
      </c>
      <c r="B69">
        <v>2.4661640247835801</v>
      </c>
      <c r="C69">
        <v>2.0902179607645999</v>
      </c>
      <c r="D69">
        <v>1.2087572624910801</v>
      </c>
      <c r="E69">
        <v>7.0533421984948701</v>
      </c>
      <c r="F69">
        <v>-2.8215663805056801</v>
      </c>
      <c r="G69" s="3">
        <v>10.81379433</v>
      </c>
      <c r="H69" s="3">
        <v>9.7121109019999992</v>
      </c>
    </row>
    <row r="70" spans="1:8" x14ac:dyDescent="0.35">
      <c r="A70" s="1">
        <v>44927</v>
      </c>
      <c r="B70">
        <v>3.3070988430670698</v>
      </c>
      <c r="C70">
        <v>2.1929533554262601</v>
      </c>
      <c r="D70">
        <v>1.98788982742148</v>
      </c>
      <c r="E70">
        <v>9.2523860610158408</v>
      </c>
      <c r="F70">
        <v>-3.0125137381728999</v>
      </c>
      <c r="G70" s="3">
        <v>12.470718</v>
      </c>
      <c r="H70" s="3">
        <v>17.075218159999999</v>
      </c>
    </row>
    <row r="71" spans="1:8" x14ac:dyDescent="0.35">
      <c r="A71" s="1">
        <v>45017</v>
      </c>
      <c r="B71">
        <v>2.9636601708564099</v>
      </c>
      <c r="C71">
        <v>2.3055009718742698</v>
      </c>
      <c r="D71">
        <v>1.5767461901506801</v>
      </c>
      <c r="E71">
        <v>6.8780363948337699</v>
      </c>
      <c r="F71">
        <v>-1.7140611173493701</v>
      </c>
      <c r="G71" s="3">
        <v>13.18801167</v>
      </c>
      <c r="H71" s="3">
        <v>11.00628442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output.co_04072025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Temitope FAROTIMI</cp:lastModifiedBy>
  <dcterms:created xsi:type="dcterms:W3CDTF">2025-04-07T19:33:24Z</dcterms:created>
  <dcterms:modified xsi:type="dcterms:W3CDTF">2025-04-07T19:35:18Z</dcterms:modified>
</cp:coreProperties>
</file>
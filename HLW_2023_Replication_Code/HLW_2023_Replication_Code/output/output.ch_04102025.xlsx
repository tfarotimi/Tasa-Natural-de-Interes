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13_ncr:9_{6C705C80-DC17-4E1A-89EA-4F46D3BE1B9E}" xr6:coauthVersionLast="47" xr6:coauthVersionMax="47" xr10:uidLastSave="{00000000-0000-0000-0000-000000000000}"/>
  <bookViews>
    <workbookView xWindow="28680" yWindow="-120" windowWidth="29040" windowHeight="15840" xr2:uid="{803F671F-CC83-49BA-A14D-863AF7419ED9}"/>
  </bookViews>
  <sheets>
    <sheet name="output.ch" sheetId="1" r:id="rId1"/>
  </sheets>
  <calcPr calcId="0"/>
</workbook>
</file>

<file path=xl/calcChain.xml><?xml version="1.0" encoding="utf-8"?>
<calcChain xmlns="http://schemas.openxmlformats.org/spreadsheetml/2006/main">
  <c r="P22" i="1" l="1"/>
  <c r="W1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2" i="1"/>
  <c r="W10" i="1"/>
  <c r="W9" i="1"/>
</calcChain>
</file>

<file path=xl/sharedStrings.xml><?xml version="1.0" encoding="utf-8"?>
<sst xmlns="http://schemas.openxmlformats.org/spreadsheetml/2006/main" count="38" uniqueCount="36">
  <si>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</si>
  <si>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</si>
  <si>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</si>
  <si>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</si>
  <si>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</si>
  <si>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</si>
  <si>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</si>
  <si>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</si>
  <si>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</si>
  <si>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</si>
  <si>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</si>
  <si>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</si>
  <si>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</si>
  <si>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</si>
  <si>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</si>
  <si>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</si>
  <si>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</si>
  <si>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</si>
  <si>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</si>
  <si>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</si>
  <si>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</si>
  <si>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</si>
  <si>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</si>
  <si>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</si>
  <si>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</si>
  <si>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</si>
  <si>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</si>
  <si>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</si>
  <si>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</si>
  <si>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inflation</t>
  </si>
  <si>
    <t>interest</t>
  </si>
  <si>
    <t>r*, inflation</t>
  </si>
  <si>
    <t>r*, interest</t>
  </si>
  <si>
    <t>r* + inflation,  interest</t>
  </si>
  <si>
    <t>Correlation</t>
  </si>
  <si>
    <t>r* +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</si>
</sst>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thin">
        <color auto="1"/>
      </diagonal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4" fontId="0" fillId="0" borderId="0" xfId="0" applyNumberFormat="1"/>
    <xf numFmtId="0" fontId="10" fillId="6" borderId="5" xfId="10"/>
    <xf numFmtId="0" fontId="9" fillId="5" borderId="4" xfId="9"/>
    <xf numFmtId="4" fontId="9" fillId="5" borderId="10" xfId="9" applyNumberFormat="1" applyBorder="1" applyAlignment="1">
      <alignment horizontal="right" vertical="center"/>
    </xf>
    <xf numFmtId="4" fontId="9" fillId="5" borderId="4" xfId="9" applyNumberFormat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4C32C1D-A909-484F-8DA5-5D217302317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output.ch!$B$1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output.ch!$A$2:$A$105</c:f>
              <c:numCache>
                <c:formatCode>m/d/yyyy</c:formatCode>
                <c:ptCount val="104"/>
                <c:pt idx="0">
                  <c:v>35796</c:v>
                </c:pt>
                <c:pt idx="1">
                  <c:v>35886</c:v>
                </c:pt>
                <c:pt idx="2">
                  <c:v>35977</c:v>
                </c:pt>
                <c:pt idx="3">
                  <c:v>36069</c:v>
                </c:pt>
                <c:pt idx="4">
                  <c:v>36161</c:v>
                </c:pt>
                <c:pt idx="5">
                  <c:v>36251</c:v>
                </c:pt>
                <c:pt idx="6">
                  <c:v>36342</c:v>
                </c:pt>
                <c:pt idx="7">
                  <c:v>36434</c:v>
                </c:pt>
                <c:pt idx="8">
                  <c:v>36526</c:v>
                </c:pt>
                <c:pt idx="9">
                  <c:v>36617</c:v>
                </c:pt>
                <c:pt idx="10">
                  <c:v>36708</c:v>
                </c:pt>
                <c:pt idx="11">
                  <c:v>36800</c:v>
                </c:pt>
                <c:pt idx="12">
                  <c:v>36892</c:v>
                </c:pt>
                <c:pt idx="13">
                  <c:v>36982</c:v>
                </c:pt>
                <c:pt idx="14">
                  <c:v>37073</c:v>
                </c:pt>
                <c:pt idx="15">
                  <c:v>37165</c:v>
                </c:pt>
                <c:pt idx="16">
                  <c:v>37257</c:v>
                </c:pt>
                <c:pt idx="17">
                  <c:v>37347</c:v>
                </c:pt>
                <c:pt idx="18">
                  <c:v>37438</c:v>
                </c:pt>
                <c:pt idx="19">
                  <c:v>37530</c:v>
                </c:pt>
                <c:pt idx="20">
                  <c:v>37622</c:v>
                </c:pt>
                <c:pt idx="21">
                  <c:v>37712</c:v>
                </c:pt>
                <c:pt idx="22">
                  <c:v>37803</c:v>
                </c:pt>
                <c:pt idx="23">
                  <c:v>37895</c:v>
                </c:pt>
                <c:pt idx="24">
                  <c:v>37987</c:v>
                </c:pt>
                <c:pt idx="25">
                  <c:v>38078</c:v>
                </c:pt>
                <c:pt idx="26">
                  <c:v>38169</c:v>
                </c:pt>
                <c:pt idx="27">
                  <c:v>38261</c:v>
                </c:pt>
                <c:pt idx="28">
                  <c:v>38353</c:v>
                </c:pt>
                <c:pt idx="29">
                  <c:v>38443</c:v>
                </c:pt>
                <c:pt idx="30">
                  <c:v>38534</c:v>
                </c:pt>
                <c:pt idx="31">
                  <c:v>38626</c:v>
                </c:pt>
                <c:pt idx="32">
                  <c:v>38718</c:v>
                </c:pt>
                <c:pt idx="33">
                  <c:v>38808</c:v>
                </c:pt>
                <c:pt idx="34">
                  <c:v>38899</c:v>
                </c:pt>
                <c:pt idx="35">
                  <c:v>38991</c:v>
                </c:pt>
                <c:pt idx="36">
                  <c:v>39083</c:v>
                </c:pt>
                <c:pt idx="37">
                  <c:v>39173</c:v>
                </c:pt>
                <c:pt idx="38">
                  <c:v>39264</c:v>
                </c:pt>
                <c:pt idx="39">
                  <c:v>39356</c:v>
                </c:pt>
                <c:pt idx="40">
                  <c:v>39448</c:v>
                </c:pt>
                <c:pt idx="41">
                  <c:v>39539</c:v>
                </c:pt>
                <c:pt idx="42">
                  <c:v>39630</c:v>
                </c:pt>
                <c:pt idx="43">
                  <c:v>39722</c:v>
                </c:pt>
                <c:pt idx="44">
                  <c:v>39814</c:v>
                </c:pt>
                <c:pt idx="45">
                  <c:v>39904</c:v>
                </c:pt>
                <c:pt idx="46">
                  <c:v>39995</c:v>
                </c:pt>
                <c:pt idx="47">
                  <c:v>40087</c:v>
                </c:pt>
                <c:pt idx="48">
                  <c:v>40179</c:v>
                </c:pt>
                <c:pt idx="49">
                  <c:v>40269</c:v>
                </c:pt>
                <c:pt idx="50">
                  <c:v>40360</c:v>
                </c:pt>
                <c:pt idx="51">
                  <c:v>40452</c:v>
                </c:pt>
                <c:pt idx="52">
                  <c:v>40544</c:v>
                </c:pt>
                <c:pt idx="53">
                  <c:v>40634</c:v>
                </c:pt>
                <c:pt idx="54">
                  <c:v>40725</c:v>
                </c:pt>
                <c:pt idx="55">
                  <c:v>40817</c:v>
                </c:pt>
                <c:pt idx="56">
                  <c:v>40909</c:v>
                </c:pt>
                <c:pt idx="57">
                  <c:v>41000</c:v>
                </c:pt>
                <c:pt idx="58">
                  <c:v>41091</c:v>
                </c:pt>
                <c:pt idx="59">
                  <c:v>41183</c:v>
                </c:pt>
                <c:pt idx="60">
                  <c:v>41275</c:v>
                </c:pt>
                <c:pt idx="61">
                  <c:v>41365</c:v>
                </c:pt>
                <c:pt idx="62">
                  <c:v>41456</c:v>
                </c:pt>
                <c:pt idx="63">
                  <c:v>41548</c:v>
                </c:pt>
                <c:pt idx="64">
                  <c:v>41640</c:v>
                </c:pt>
                <c:pt idx="65">
                  <c:v>41730</c:v>
                </c:pt>
                <c:pt idx="66">
                  <c:v>41821</c:v>
                </c:pt>
                <c:pt idx="67">
                  <c:v>41913</c:v>
                </c:pt>
                <c:pt idx="68">
                  <c:v>42005</c:v>
                </c:pt>
                <c:pt idx="69">
                  <c:v>42095</c:v>
                </c:pt>
                <c:pt idx="70">
                  <c:v>42186</c:v>
                </c:pt>
                <c:pt idx="71">
                  <c:v>42278</c:v>
                </c:pt>
                <c:pt idx="72">
                  <c:v>42370</c:v>
                </c:pt>
                <c:pt idx="73">
                  <c:v>42461</c:v>
                </c:pt>
                <c:pt idx="74">
                  <c:v>42552</c:v>
                </c:pt>
                <c:pt idx="75">
                  <c:v>42644</c:v>
                </c:pt>
                <c:pt idx="76">
                  <c:v>42736</c:v>
                </c:pt>
                <c:pt idx="77">
                  <c:v>42826</c:v>
                </c:pt>
                <c:pt idx="78">
                  <c:v>42917</c:v>
                </c:pt>
                <c:pt idx="79">
                  <c:v>43009</c:v>
                </c:pt>
                <c:pt idx="80">
                  <c:v>43101</c:v>
                </c:pt>
                <c:pt idx="81">
                  <c:v>43191</c:v>
                </c:pt>
                <c:pt idx="82">
                  <c:v>43282</c:v>
                </c:pt>
                <c:pt idx="83">
                  <c:v>43374</c:v>
                </c:pt>
                <c:pt idx="84">
                  <c:v>43466</c:v>
                </c:pt>
                <c:pt idx="85">
                  <c:v>43556</c:v>
                </c:pt>
                <c:pt idx="86">
                  <c:v>43647</c:v>
                </c:pt>
                <c:pt idx="87">
                  <c:v>43739</c:v>
                </c:pt>
                <c:pt idx="88">
                  <c:v>43831</c:v>
                </c:pt>
                <c:pt idx="89">
                  <c:v>43922</c:v>
                </c:pt>
                <c:pt idx="90">
                  <c:v>44013</c:v>
                </c:pt>
                <c:pt idx="91">
                  <c:v>44105</c:v>
                </c:pt>
                <c:pt idx="92">
                  <c:v>44197</c:v>
                </c:pt>
                <c:pt idx="93">
                  <c:v>44287</c:v>
                </c:pt>
                <c:pt idx="94">
                  <c:v>44378</c:v>
                </c:pt>
                <c:pt idx="95">
                  <c:v>44470</c:v>
                </c:pt>
                <c:pt idx="96">
                  <c:v>44562</c:v>
                </c:pt>
                <c:pt idx="97">
                  <c:v>44652</c:v>
                </c:pt>
                <c:pt idx="98">
                  <c:v>44743</c:v>
                </c:pt>
                <c:pt idx="99">
                  <c:v>44835</c:v>
                </c:pt>
                <c:pt idx="100">
                  <c:v>44927</c:v>
                </c:pt>
                <c:pt idx="101">
                  <c:v>45017</c:v>
                </c:pt>
                <c:pt idx="102">
                  <c:v>45108</c:v>
                </c:pt>
                <c:pt idx="103">
                  <c:v>45200</c:v>
                </c:pt>
              </c:numCache>
            </c:numRef>
          </c:cat>
          <c:val>
            <c:numRef>
              <c:f>output.ch!$B$2:$B$105</c:f>
              <c:numCache>
                <c:formatCode>General</c:formatCode>
                <c:ptCount val="104"/>
                <c:pt idx="0">
                  <c:v>4.22582084147815</c:v>
                </c:pt>
                <c:pt idx="1">
                  <c:v>4.79453597855911</c:v>
                </c:pt>
                <c:pt idx="2">
                  <c:v>4.5897076781137098</c:v>
                </c:pt>
                <c:pt idx="3">
                  <c:v>3.52012947126084</c:v>
                </c:pt>
                <c:pt idx="4">
                  <c:v>3.58237661709332</c:v>
                </c:pt>
                <c:pt idx="5">
                  <c:v>3.3411629736012398</c:v>
                </c:pt>
                <c:pt idx="6">
                  <c:v>3.6612475199086698</c:v>
                </c:pt>
                <c:pt idx="7">
                  <c:v>3.99451345203736</c:v>
                </c:pt>
                <c:pt idx="8">
                  <c:v>3.8521127346911102</c:v>
                </c:pt>
                <c:pt idx="9">
                  <c:v>3.6608361172311299</c:v>
                </c:pt>
                <c:pt idx="10">
                  <c:v>3.8433750115737402</c:v>
                </c:pt>
                <c:pt idx="11">
                  <c:v>3.87639841879747</c:v>
                </c:pt>
                <c:pt idx="12">
                  <c:v>3.8137793226826902</c:v>
                </c:pt>
                <c:pt idx="13">
                  <c:v>3.8043225211672702</c:v>
                </c:pt>
                <c:pt idx="14">
                  <c:v>3.5223135444465399</c:v>
                </c:pt>
                <c:pt idx="15">
                  <c:v>3.4535620846596</c:v>
                </c:pt>
                <c:pt idx="16">
                  <c:v>3.3456762395261501</c:v>
                </c:pt>
                <c:pt idx="17">
                  <c:v>3.3152402092820799</c:v>
                </c:pt>
                <c:pt idx="18">
                  <c:v>3.1923284922311099</c:v>
                </c:pt>
                <c:pt idx="19">
                  <c:v>3.3319523933412398</c:v>
                </c:pt>
                <c:pt idx="20">
                  <c:v>3.4021850796438899</c:v>
                </c:pt>
                <c:pt idx="21">
                  <c:v>3.4686376588102301</c:v>
                </c:pt>
                <c:pt idx="22">
                  <c:v>3.1342436530292002</c:v>
                </c:pt>
                <c:pt idx="23">
                  <c:v>2.9306105780549201</c:v>
                </c:pt>
                <c:pt idx="24">
                  <c:v>3.12140449704347</c:v>
                </c:pt>
                <c:pt idx="25">
                  <c:v>3.3610883467686699</c:v>
                </c:pt>
                <c:pt idx="26">
                  <c:v>3.6675867568399698</c:v>
                </c:pt>
                <c:pt idx="27">
                  <c:v>3.76427191014545</c:v>
                </c:pt>
                <c:pt idx="28">
                  <c:v>3.7033431990650998</c:v>
                </c:pt>
                <c:pt idx="29">
                  <c:v>4.0436623697328402</c:v>
                </c:pt>
                <c:pt idx="30">
                  <c:v>4.2993717964382601</c:v>
                </c:pt>
                <c:pt idx="31">
                  <c:v>4.3718460810642696</c:v>
                </c:pt>
                <c:pt idx="32">
                  <c:v>4.3958760471596898</c:v>
                </c:pt>
                <c:pt idx="33">
                  <c:v>4.92651068860952</c:v>
                </c:pt>
                <c:pt idx="34">
                  <c:v>4.6356846719936504</c:v>
                </c:pt>
                <c:pt idx="35">
                  <c:v>4.7977021932075399</c:v>
                </c:pt>
                <c:pt idx="36">
                  <c:v>4.9625095707290496</c:v>
                </c:pt>
                <c:pt idx="37">
                  <c:v>5.3370921184370799</c:v>
                </c:pt>
                <c:pt idx="38">
                  <c:v>5.6648639668580296</c:v>
                </c:pt>
                <c:pt idx="39">
                  <c:v>5.8548709300443198</c:v>
                </c:pt>
                <c:pt idx="40">
                  <c:v>5.8868611655245502</c:v>
                </c:pt>
                <c:pt idx="41">
                  <c:v>6.3009149228501</c:v>
                </c:pt>
                <c:pt idx="42">
                  <c:v>5.5685748466465004</c:v>
                </c:pt>
                <c:pt idx="43">
                  <c:v>5.3021052542298603</c:v>
                </c:pt>
                <c:pt idx="44">
                  <c:v>4.65310841987566</c:v>
                </c:pt>
                <c:pt idx="45">
                  <c:v>3.7221556535709799</c:v>
                </c:pt>
                <c:pt idx="46">
                  <c:v>2.63675903575521</c:v>
                </c:pt>
                <c:pt idx="47">
                  <c:v>2.3082763976409502</c:v>
                </c:pt>
                <c:pt idx="48">
                  <c:v>1.9439753987755499</c:v>
                </c:pt>
                <c:pt idx="49">
                  <c:v>2.5127345973598101</c:v>
                </c:pt>
                <c:pt idx="50">
                  <c:v>2.8711298021829501</c:v>
                </c:pt>
                <c:pt idx="51">
                  <c:v>2.9358306834058601</c:v>
                </c:pt>
                <c:pt idx="52">
                  <c:v>3.0688626678922599</c:v>
                </c:pt>
                <c:pt idx="53">
                  <c:v>3.6112173935379301</c:v>
                </c:pt>
                <c:pt idx="54">
                  <c:v>3.2293904428215301</c:v>
                </c:pt>
                <c:pt idx="55">
                  <c:v>3.6232835958673002</c:v>
                </c:pt>
                <c:pt idx="56">
                  <c:v>4.2611949114043002</c:v>
                </c:pt>
                <c:pt idx="57">
                  <c:v>4.2356270990253</c:v>
                </c:pt>
                <c:pt idx="58">
                  <c:v>3.7734534414970198</c:v>
                </c:pt>
                <c:pt idx="59">
                  <c:v>3.8480269660630899</c:v>
                </c:pt>
                <c:pt idx="60">
                  <c:v>3.8608513534939002</c:v>
                </c:pt>
                <c:pt idx="61">
                  <c:v>3.7950861689270399</c:v>
                </c:pt>
                <c:pt idx="62">
                  <c:v>3.47205899650129</c:v>
                </c:pt>
                <c:pt idx="63">
                  <c:v>3.8768745818267401</c:v>
                </c:pt>
                <c:pt idx="64">
                  <c:v>3.9883323046307799</c:v>
                </c:pt>
                <c:pt idx="65">
                  <c:v>4.8922247161317696</c:v>
                </c:pt>
                <c:pt idx="66">
                  <c:v>3.59307998346147</c:v>
                </c:pt>
                <c:pt idx="67">
                  <c:v>3.9644213433180702</c:v>
                </c:pt>
                <c:pt idx="68">
                  <c:v>3.8273264843661901</c:v>
                </c:pt>
                <c:pt idx="69">
                  <c:v>4.3812581917245099</c:v>
                </c:pt>
                <c:pt idx="70">
                  <c:v>3.4351343742580598</c:v>
                </c:pt>
                <c:pt idx="71">
                  <c:v>3.28671493281316</c:v>
                </c:pt>
                <c:pt idx="72">
                  <c:v>3.0369854313898199</c:v>
                </c:pt>
                <c:pt idx="73">
                  <c:v>2.9670606193620901</c:v>
                </c:pt>
                <c:pt idx="74">
                  <c:v>2.0817518355787898</c:v>
                </c:pt>
                <c:pt idx="75">
                  <c:v>1.3315207066013</c:v>
                </c:pt>
                <c:pt idx="76">
                  <c:v>1.37790807524567</c:v>
                </c:pt>
                <c:pt idx="77">
                  <c:v>1.6911859943754</c:v>
                </c:pt>
                <c:pt idx="78">
                  <c:v>1.04995883223</c:v>
                </c:pt>
                <c:pt idx="79">
                  <c:v>0.92127299055117895</c:v>
                </c:pt>
                <c:pt idx="80">
                  <c:v>1.13559389378258</c:v>
                </c:pt>
                <c:pt idx="81">
                  <c:v>1.8337946587035701</c:v>
                </c:pt>
                <c:pt idx="82">
                  <c:v>1.1118887249951701</c:v>
                </c:pt>
                <c:pt idx="83">
                  <c:v>1.12356373699885</c:v>
                </c:pt>
                <c:pt idx="84">
                  <c:v>1.2186578277834601</c:v>
                </c:pt>
                <c:pt idx="85">
                  <c:v>1.62175766018182</c:v>
                </c:pt>
                <c:pt idx="86">
                  <c:v>0.92672101186210598</c:v>
                </c:pt>
                <c:pt idx="87">
                  <c:v>-7.5454296212033894E-2</c:v>
                </c:pt>
                <c:pt idx="88">
                  <c:v>0.69246984984123305</c:v>
                </c:pt>
                <c:pt idx="89">
                  <c:v>-2.25918607837612</c:v>
                </c:pt>
                <c:pt idx="90">
                  <c:v>-1.55594655849121</c:v>
                </c:pt>
                <c:pt idx="91">
                  <c:v>0.321137484652877</c:v>
                </c:pt>
                <c:pt idx="92">
                  <c:v>0.80889942812516302</c:v>
                </c:pt>
                <c:pt idx="93">
                  <c:v>0.97464098903690799</c:v>
                </c:pt>
                <c:pt idx="94">
                  <c:v>2.0758914900707102</c:v>
                </c:pt>
                <c:pt idx="95">
                  <c:v>3.23734496735486</c:v>
                </c:pt>
                <c:pt idx="96">
                  <c:v>4.9432653880043702</c:v>
                </c:pt>
                <c:pt idx="97">
                  <c:v>6.04399359191126</c:v>
                </c:pt>
                <c:pt idx="98">
                  <c:v>5.5259862682796301</c:v>
                </c:pt>
                <c:pt idx="99">
                  <c:v>4.3145683951439198</c:v>
                </c:pt>
                <c:pt idx="100">
                  <c:v>5.27649933562844</c:v>
                </c:pt>
                <c:pt idx="101">
                  <c:v>4.4810798724707599</c:v>
                </c:pt>
                <c:pt idx="102">
                  <c:v>1.63178632537033</c:v>
                </c:pt>
                <c:pt idx="103">
                  <c:v>0.57482691617624004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D-4334-9728-98D508E97A6C}"/>
            </c:ext>
          </c:extLst>
        </c:ser>
        <c:ser>
          <c:idx val="1"/>
          <c:order val="1"/>
          <c:tx>
            <c:strRef>
              <c:f>output.ch!$G$1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output.ch!$A$2:$A$105</c:f>
              <c:numCache>
                <c:formatCode>m/d/yyyy</c:formatCode>
                <c:ptCount val="104"/>
                <c:pt idx="0">
                  <c:v>35796</c:v>
                </c:pt>
                <c:pt idx="1">
                  <c:v>35886</c:v>
                </c:pt>
                <c:pt idx="2">
                  <c:v>35977</c:v>
                </c:pt>
                <c:pt idx="3">
                  <c:v>36069</c:v>
                </c:pt>
                <c:pt idx="4">
                  <c:v>36161</c:v>
                </c:pt>
                <c:pt idx="5">
                  <c:v>36251</c:v>
                </c:pt>
                <c:pt idx="6">
                  <c:v>36342</c:v>
                </c:pt>
                <c:pt idx="7">
                  <c:v>36434</c:v>
                </c:pt>
                <c:pt idx="8">
                  <c:v>36526</c:v>
                </c:pt>
                <c:pt idx="9">
                  <c:v>36617</c:v>
                </c:pt>
                <c:pt idx="10">
                  <c:v>36708</c:v>
                </c:pt>
                <c:pt idx="11">
                  <c:v>36800</c:v>
                </c:pt>
                <c:pt idx="12">
                  <c:v>36892</c:v>
                </c:pt>
                <c:pt idx="13">
                  <c:v>36982</c:v>
                </c:pt>
                <c:pt idx="14">
                  <c:v>37073</c:v>
                </c:pt>
                <c:pt idx="15">
                  <c:v>37165</c:v>
                </c:pt>
                <c:pt idx="16">
                  <c:v>37257</c:v>
                </c:pt>
                <c:pt idx="17">
                  <c:v>37347</c:v>
                </c:pt>
                <c:pt idx="18">
                  <c:v>37438</c:v>
                </c:pt>
                <c:pt idx="19">
                  <c:v>37530</c:v>
                </c:pt>
                <c:pt idx="20">
                  <c:v>37622</c:v>
                </c:pt>
                <c:pt idx="21">
                  <c:v>37712</c:v>
                </c:pt>
                <c:pt idx="22">
                  <c:v>37803</c:v>
                </c:pt>
                <c:pt idx="23">
                  <c:v>37895</c:v>
                </c:pt>
                <c:pt idx="24">
                  <c:v>37987</c:v>
                </c:pt>
                <c:pt idx="25">
                  <c:v>38078</c:v>
                </c:pt>
                <c:pt idx="26">
                  <c:v>38169</c:v>
                </c:pt>
                <c:pt idx="27">
                  <c:v>38261</c:v>
                </c:pt>
                <c:pt idx="28">
                  <c:v>38353</c:v>
                </c:pt>
                <c:pt idx="29">
                  <c:v>38443</c:v>
                </c:pt>
                <c:pt idx="30">
                  <c:v>38534</c:v>
                </c:pt>
                <c:pt idx="31">
                  <c:v>38626</c:v>
                </c:pt>
                <c:pt idx="32">
                  <c:v>38718</c:v>
                </c:pt>
                <c:pt idx="33">
                  <c:v>38808</c:v>
                </c:pt>
                <c:pt idx="34">
                  <c:v>38899</c:v>
                </c:pt>
                <c:pt idx="35">
                  <c:v>38991</c:v>
                </c:pt>
                <c:pt idx="36">
                  <c:v>39083</c:v>
                </c:pt>
                <c:pt idx="37">
                  <c:v>39173</c:v>
                </c:pt>
                <c:pt idx="38">
                  <c:v>39264</c:v>
                </c:pt>
                <c:pt idx="39">
                  <c:v>39356</c:v>
                </c:pt>
                <c:pt idx="40">
                  <c:v>39448</c:v>
                </c:pt>
                <c:pt idx="41">
                  <c:v>39539</c:v>
                </c:pt>
                <c:pt idx="42">
                  <c:v>39630</c:v>
                </c:pt>
                <c:pt idx="43">
                  <c:v>39722</c:v>
                </c:pt>
                <c:pt idx="44">
                  <c:v>39814</c:v>
                </c:pt>
                <c:pt idx="45">
                  <c:v>39904</c:v>
                </c:pt>
                <c:pt idx="46">
                  <c:v>39995</c:v>
                </c:pt>
                <c:pt idx="47">
                  <c:v>40087</c:v>
                </c:pt>
                <c:pt idx="48">
                  <c:v>40179</c:v>
                </c:pt>
                <c:pt idx="49">
                  <c:v>40269</c:v>
                </c:pt>
                <c:pt idx="50">
                  <c:v>40360</c:v>
                </c:pt>
                <c:pt idx="51">
                  <c:v>40452</c:v>
                </c:pt>
                <c:pt idx="52">
                  <c:v>40544</c:v>
                </c:pt>
                <c:pt idx="53">
                  <c:v>40634</c:v>
                </c:pt>
                <c:pt idx="54">
                  <c:v>40725</c:v>
                </c:pt>
                <c:pt idx="55">
                  <c:v>40817</c:v>
                </c:pt>
                <c:pt idx="56">
                  <c:v>40909</c:v>
                </c:pt>
                <c:pt idx="57">
                  <c:v>41000</c:v>
                </c:pt>
                <c:pt idx="58">
                  <c:v>41091</c:v>
                </c:pt>
                <c:pt idx="59">
                  <c:v>41183</c:v>
                </c:pt>
                <c:pt idx="60">
                  <c:v>41275</c:v>
                </c:pt>
                <c:pt idx="61">
                  <c:v>41365</c:v>
                </c:pt>
                <c:pt idx="62">
                  <c:v>41456</c:v>
                </c:pt>
                <c:pt idx="63">
                  <c:v>41548</c:v>
                </c:pt>
                <c:pt idx="64">
                  <c:v>41640</c:v>
                </c:pt>
                <c:pt idx="65">
                  <c:v>41730</c:v>
                </c:pt>
                <c:pt idx="66">
                  <c:v>41821</c:v>
                </c:pt>
                <c:pt idx="67">
                  <c:v>41913</c:v>
                </c:pt>
                <c:pt idx="68">
                  <c:v>42005</c:v>
                </c:pt>
                <c:pt idx="69">
                  <c:v>42095</c:v>
                </c:pt>
                <c:pt idx="70">
                  <c:v>42186</c:v>
                </c:pt>
                <c:pt idx="71">
                  <c:v>42278</c:v>
                </c:pt>
                <c:pt idx="72">
                  <c:v>42370</c:v>
                </c:pt>
                <c:pt idx="73">
                  <c:v>42461</c:v>
                </c:pt>
                <c:pt idx="74">
                  <c:v>42552</c:v>
                </c:pt>
                <c:pt idx="75">
                  <c:v>42644</c:v>
                </c:pt>
                <c:pt idx="76">
                  <c:v>42736</c:v>
                </c:pt>
                <c:pt idx="77">
                  <c:v>42826</c:v>
                </c:pt>
                <c:pt idx="78">
                  <c:v>42917</c:v>
                </c:pt>
                <c:pt idx="79">
                  <c:v>43009</c:v>
                </c:pt>
                <c:pt idx="80">
                  <c:v>43101</c:v>
                </c:pt>
                <c:pt idx="81">
                  <c:v>43191</c:v>
                </c:pt>
                <c:pt idx="82">
                  <c:v>43282</c:v>
                </c:pt>
                <c:pt idx="83">
                  <c:v>43374</c:v>
                </c:pt>
                <c:pt idx="84">
                  <c:v>43466</c:v>
                </c:pt>
                <c:pt idx="85">
                  <c:v>43556</c:v>
                </c:pt>
                <c:pt idx="86">
                  <c:v>43647</c:v>
                </c:pt>
                <c:pt idx="87">
                  <c:v>43739</c:v>
                </c:pt>
                <c:pt idx="88">
                  <c:v>43831</c:v>
                </c:pt>
                <c:pt idx="89">
                  <c:v>43922</c:v>
                </c:pt>
                <c:pt idx="90">
                  <c:v>44013</c:v>
                </c:pt>
                <c:pt idx="91">
                  <c:v>44105</c:v>
                </c:pt>
                <c:pt idx="92">
                  <c:v>44197</c:v>
                </c:pt>
                <c:pt idx="93">
                  <c:v>44287</c:v>
                </c:pt>
                <c:pt idx="94">
                  <c:v>44378</c:v>
                </c:pt>
                <c:pt idx="95">
                  <c:v>44470</c:v>
                </c:pt>
                <c:pt idx="96">
                  <c:v>44562</c:v>
                </c:pt>
                <c:pt idx="97">
                  <c:v>44652</c:v>
                </c:pt>
                <c:pt idx="98">
                  <c:v>44743</c:v>
                </c:pt>
                <c:pt idx="99">
                  <c:v>44835</c:v>
                </c:pt>
                <c:pt idx="100">
                  <c:v>44927</c:v>
                </c:pt>
                <c:pt idx="101">
                  <c:v>45017</c:v>
                </c:pt>
                <c:pt idx="102">
                  <c:v>45108</c:v>
                </c:pt>
                <c:pt idx="103">
                  <c:v>45200</c:v>
                </c:pt>
              </c:numCache>
            </c:numRef>
          </c:cat>
          <c:val>
            <c:numRef>
              <c:f>output.ch!$G$2:$G$105</c:f>
              <c:numCache>
                <c:formatCode>General</c:formatCode>
                <c:ptCount val="104"/>
                <c:pt idx="0">
                  <c:v>7.3412719493109346</c:v>
                </c:pt>
                <c:pt idx="1">
                  <c:v>6.9673699244273246</c:v>
                </c:pt>
                <c:pt idx="2">
                  <c:v>5.3831150302291464</c:v>
                </c:pt>
                <c:pt idx="3">
                  <c:v>7.3002640106978989</c:v>
                </c:pt>
                <c:pt idx="4">
                  <c:v>3.931649948607574</c:v>
                </c:pt>
                <c:pt idx="5">
                  <c:v>4.5298215347548743</c:v>
                </c:pt>
                <c:pt idx="6">
                  <c:v>0.64317916903797734</c:v>
                </c:pt>
                <c:pt idx="7">
                  <c:v>0.45166931674571748</c:v>
                </c:pt>
                <c:pt idx="8">
                  <c:v>3.7065056926606221</c:v>
                </c:pt>
                <c:pt idx="9">
                  <c:v>5.3152368203819078</c:v>
                </c:pt>
                <c:pt idx="10">
                  <c:v>0.84408734389722628</c:v>
                </c:pt>
                <c:pt idx="11">
                  <c:v>2.2101033081947108</c:v>
                </c:pt>
                <c:pt idx="12">
                  <c:v>2.9441872377151008</c:v>
                </c:pt>
                <c:pt idx="13">
                  <c:v>3.0120364004542211</c:v>
                </c:pt>
                <c:pt idx="14">
                  <c:v>2.525082798328238</c:v>
                </c:pt>
                <c:pt idx="15">
                  <c:v>2.877849653896325</c:v>
                </c:pt>
                <c:pt idx="16">
                  <c:v>1.7595895327473079</c:v>
                </c:pt>
                <c:pt idx="17">
                  <c:v>3.0197239185745679</c:v>
                </c:pt>
                <c:pt idx="18">
                  <c:v>0.65208836083827659</c:v>
                </c:pt>
                <c:pt idx="19">
                  <c:v>3.057401573511553</c:v>
                </c:pt>
                <c:pt idx="20">
                  <c:v>3.028484236637019</c:v>
                </c:pt>
                <c:pt idx="21">
                  <c:v>3.9157027321731648</c:v>
                </c:pt>
                <c:pt idx="22">
                  <c:v>-0.27212162563219339</c:v>
                </c:pt>
                <c:pt idx="23">
                  <c:v>-0.42441233935477379</c:v>
                </c:pt>
                <c:pt idx="24">
                  <c:v>0.41366194609342433</c:v>
                </c:pt>
                <c:pt idx="25">
                  <c:v>1.663920213010051</c:v>
                </c:pt>
                <c:pt idx="26">
                  <c:v>1.1885604917418751</c:v>
                </c:pt>
                <c:pt idx="27">
                  <c:v>0.76634491992182419</c:v>
                </c:pt>
                <c:pt idx="28">
                  <c:v>1.693684019734865</c:v>
                </c:pt>
                <c:pt idx="29">
                  <c:v>3.2142210983202579</c:v>
                </c:pt>
                <c:pt idx="30">
                  <c:v>2.3661055685170411</c:v>
                </c:pt>
                <c:pt idx="31">
                  <c:v>2.4562233792382089</c:v>
                </c:pt>
                <c:pt idx="32">
                  <c:v>2.5889506877496249</c:v>
                </c:pt>
                <c:pt idx="33">
                  <c:v>5.0582960540255462</c:v>
                </c:pt>
                <c:pt idx="34">
                  <c:v>1.480946656461346</c:v>
                </c:pt>
                <c:pt idx="35">
                  <c:v>1.7212990980342899</c:v>
                </c:pt>
                <c:pt idx="36">
                  <c:v>3.3706697221249859</c:v>
                </c:pt>
                <c:pt idx="37">
                  <c:v>5.7162612553676384</c:v>
                </c:pt>
                <c:pt idx="38">
                  <c:v>7.7061787298466911</c:v>
                </c:pt>
                <c:pt idx="39">
                  <c:v>6.5708344581179912</c:v>
                </c:pt>
                <c:pt idx="40">
                  <c:v>5.4508010565241127</c:v>
                </c:pt>
                <c:pt idx="41">
                  <c:v>9.7656037956826314</c:v>
                </c:pt>
                <c:pt idx="42">
                  <c:v>6.6266798970608276</c:v>
                </c:pt>
                <c:pt idx="43">
                  <c:v>7.4789905949594448</c:v>
                </c:pt>
                <c:pt idx="44">
                  <c:v>5.557285012999591</c:v>
                </c:pt>
                <c:pt idx="45">
                  <c:v>3.2434942597900922</c:v>
                </c:pt>
                <c:pt idx="46">
                  <c:v>-1.185448831325475</c:v>
                </c:pt>
                <c:pt idx="47">
                  <c:v>-0.27267537652110319</c:v>
                </c:pt>
                <c:pt idx="48">
                  <c:v>-1.768907228427707E-3</c:v>
                </c:pt>
                <c:pt idx="49">
                  <c:v>1.0474917103770349</c:v>
                </c:pt>
                <c:pt idx="50">
                  <c:v>1.434560449596112</c:v>
                </c:pt>
                <c:pt idx="51">
                  <c:v>1.364543487497349</c:v>
                </c:pt>
                <c:pt idx="52">
                  <c:v>1.679075629792282</c:v>
                </c:pt>
                <c:pt idx="53">
                  <c:v>3.659283365479848</c:v>
                </c:pt>
                <c:pt idx="54">
                  <c:v>1.5115010566778331</c:v>
                </c:pt>
                <c:pt idx="55">
                  <c:v>2.3839880425668092</c:v>
                </c:pt>
                <c:pt idx="56">
                  <c:v>4.2784020045242288</c:v>
                </c:pt>
                <c:pt idx="57">
                  <c:v>2.89986482063469</c:v>
                </c:pt>
                <c:pt idx="58">
                  <c:v>1.120952895333627</c:v>
                </c:pt>
                <c:pt idx="59">
                  <c:v>2.460648288241241</c:v>
                </c:pt>
                <c:pt idx="60">
                  <c:v>2.780529099370566</c:v>
                </c:pt>
                <c:pt idx="61">
                  <c:v>2.6390329406927431</c:v>
                </c:pt>
                <c:pt idx="62">
                  <c:v>1.4272482696503721</c:v>
                </c:pt>
                <c:pt idx="63">
                  <c:v>3.982577323478353</c:v>
                </c:pt>
                <c:pt idx="64">
                  <c:v>4.6022133477742422</c:v>
                </c:pt>
                <c:pt idx="65">
                  <c:v>7.8326956376030044</c:v>
                </c:pt>
                <c:pt idx="66">
                  <c:v>2.6498049574896991</c:v>
                </c:pt>
                <c:pt idx="67">
                  <c:v>4.8949245320505819</c:v>
                </c:pt>
                <c:pt idx="68">
                  <c:v>5.0794100537510767</c:v>
                </c:pt>
                <c:pt idx="69">
                  <c:v>7.4349084280074704</c:v>
                </c:pt>
                <c:pt idx="70">
                  <c:v>4.1677821693602679</c:v>
                </c:pt>
                <c:pt idx="71">
                  <c:v>4.3498113951268236</c:v>
                </c:pt>
                <c:pt idx="72">
                  <c:v>4.0210843673961882</c:v>
                </c:pt>
                <c:pt idx="73">
                  <c:v>5.4687631056014707</c:v>
                </c:pt>
                <c:pt idx="74">
                  <c:v>2.1861853058807501</c:v>
                </c:pt>
                <c:pt idx="75">
                  <c:v>1.1143881259109369</c:v>
                </c:pt>
                <c:pt idx="76">
                  <c:v>3.4028269510640858</c:v>
                </c:pt>
                <c:pt idx="77">
                  <c:v>3.9292940749482201</c:v>
                </c:pt>
                <c:pt idx="78">
                  <c:v>0.61415074263191372</c:v>
                </c:pt>
                <c:pt idx="79">
                  <c:v>0.88938256703583463</c:v>
                </c:pt>
                <c:pt idx="80">
                  <c:v>2.1337495169670539</c:v>
                </c:pt>
                <c:pt idx="81">
                  <c:v>3.9083950806852119</c:v>
                </c:pt>
                <c:pt idx="82">
                  <c:v>1.6294395472046921</c:v>
                </c:pt>
                <c:pt idx="83">
                  <c:v>1.3139126947839139</c:v>
                </c:pt>
                <c:pt idx="84">
                  <c:v>3.1128556690670721</c:v>
                </c:pt>
                <c:pt idx="85">
                  <c:v>3.5738168987483609</c:v>
                </c:pt>
                <c:pt idx="86">
                  <c:v>1.3372479115154821</c:v>
                </c:pt>
                <c:pt idx="87">
                  <c:v>1.85907568797008</c:v>
                </c:pt>
                <c:pt idx="88">
                  <c:v>3.4076325542000241</c:v>
                </c:pt>
                <c:pt idx="89">
                  <c:v>3.74776607274665</c:v>
                </c:pt>
                <c:pt idx="90">
                  <c:v>1.6505577378044261</c:v>
                </c:pt>
                <c:pt idx="91">
                  <c:v>4.0233485163491123</c:v>
                </c:pt>
                <c:pt idx="92">
                  <c:v>3.5706819462418831</c:v>
                </c:pt>
                <c:pt idx="93">
                  <c:v>3.7433934299183398</c:v>
                </c:pt>
                <c:pt idx="94">
                  <c:v>4.4575427883674754</c:v>
                </c:pt>
                <c:pt idx="95">
                  <c:v>6.6153645676961137</c:v>
                </c:pt>
                <c:pt idx="96">
                  <c:v>12.06911513222164</c:v>
                </c:pt>
                <c:pt idx="97">
                  <c:v>13.35846352171286</c:v>
                </c:pt>
                <c:pt idx="98">
                  <c:v>10.607068465999101</c:v>
                </c:pt>
                <c:pt idx="99">
                  <c:v>7.3991134012152626</c:v>
                </c:pt>
                <c:pt idx="100">
                  <c:v>11.464003563906489</c:v>
                </c:pt>
                <c:pt idx="101">
                  <c:v>9.6481506541967086</c:v>
                </c:pt>
                <c:pt idx="102">
                  <c:v>1.687617259269492</c:v>
                </c:pt>
                <c:pt idx="103">
                  <c:v>1.4421234741342599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6D-4334-9728-98D508E97A6C}"/>
            </c:ext>
          </c:extLst>
        </c:ser>
        <c:ser>
          <c:idx val="2"/>
          <c:order val="2"/>
          <c:tx>
            <c:strRef>
              <c:f>output.ch!$H$1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output.ch!$A$2:$A$105</c:f>
              <c:numCache>
                <c:formatCode>m/d/yyyy</c:formatCode>
                <c:ptCount val="104"/>
                <c:pt idx="0">
                  <c:v>35796</c:v>
                </c:pt>
                <c:pt idx="1">
                  <c:v>35886</c:v>
                </c:pt>
                <c:pt idx="2">
                  <c:v>35977</c:v>
                </c:pt>
                <c:pt idx="3">
                  <c:v>36069</c:v>
                </c:pt>
                <c:pt idx="4">
                  <c:v>36161</c:v>
                </c:pt>
                <c:pt idx="5">
                  <c:v>36251</c:v>
                </c:pt>
                <c:pt idx="6">
                  <c:v>36342</c:v>
                </c:pt>
                <c:pt idx="7">
                  <c:v>36434</c:v>
                </c:pt>
                <c:pt idx="8">
                  <c:v>36526</c:v>
                </c:pt>
                <c:pt idx="9">
                  <c:v>36617</c:v>
                </c:pt>
                <c:pt idx="10">
                  <c:v>36708</c:v>
                </c:pt>
                <c:pt idx="11">
                  <c:v>36800</c:v>
                </c:pt>
                <c:pt idx="12">
                  <c:v>36892</c:v>
                </c:pt>
                <c:pt idx="13">
                  <c:v>36982</c:v>
                </c:pt>
                <c:pt idx="14">
                  <c:v>37073</c:v>
                </c:pt>
                <c:pt idx="15">
                  <c:v>37165</c:v>
                </c:pt>
                <c:pt idx="16">
                  <c:v>37257</c:v>
                </c:pt>
                <c:pt idx="17">
                  <c:v>37347</c:v>
                </c:pt>
                <c:pt idx="18">
                  <c:v>37438</c:v>
                </c:pt>
                <c:pt idx="19">
                  <c:v>37530</c:v>
                </c:pt>
                <c:pt idx="20">
                  <c:v>37622</c:v>
                </c:pt>
                <c:pt idx="21">
                  <c:v>37712</c:v>
                </c:pt>
                <c:pt idx="22">
                  <c:v>37803</c:v>
                </c:pt>
                <c:pt idx="23">
                  <c:v>37895</c:v>
                </c:pt>
                <c:pt idx="24">
                  <c:v>37987</c:v>
                </c:pt>
                <c:pt idx="25">
                  <c:v>38078</c:v>
                </c:pt>
                <c:pt idx="26">
                  <c:v>38169</c:v>
                </c:pt>
                <c:pt idx="27">
                  <c:v>38261</c:v>
                </c:pt>
                <c:pt idx="28">
                  <c:v>38353</c:v>
                </c:pt>
                <c:pt idx="29">
                  <c:v>38443</c:v>
                </c:pt>
                <c:pt idx="30">
                  <c:v>38534</c:v>
                </c:pt>
                <c:pt idx="31">
                  <c:v>38626</c:v>
                </c:pt>
                <c:pt idx="32">
                  <c:v>38718</c:v>
                </c:pt>
                <c:pt idx="33">
                  <c:v>38808</c:v>
                </c:pt>
                <c:pt idx="34">
                  <c:v>38899</c:v>
                </c:pt>
                <c:pt idx="35">
                  <c:v>38991</c:v>
                </c:pt>
                <c:pt idx="36">
                  <c:v>39083</c:v>
                </c:pt>
                <c:pt idx="37">
                  <c:v>39173</c:v>
                </c:pt>
                <c:pt idx="38">
                  <c:v>39264</c:v>
                </c:pt>
                <c:pt idx="39">
                  <c:v>39356</c:v>
                </c:pt>
                <c:pt idx="40">
                  <c:v>39448</c:v>
                </c:pt>
                <c:pt idx="41">
                  <c:v>39539</c:v>
                </c:pt>
                <c:pt idx="42">
                  <c:v>39630</c:v>
                </c:pt>
                <c:pt idx="43">
                  <c:v>39722</c:v>
                </c:pt>
                <c:pt idx="44">
                  <c:v>39814</c:v>
                </c:pt>
                <c:pt idx="45">
                  <c:v>39904</c:v>
                </c:pt>
                <c:pt idx="46">
                  <c:v>39995</c:v>
                </c:pt>
                <c:pt idx="47">
                  <c:v>40087</c:v>
                </c:pt>
                <c:pt idx="48">
                  <c:v>40179</c:v>
                </c:pt>
                <c:pt idx="49">
                  <c:v>40269</c:v>
                </c:pt>
                <c:pt idx="50">
                  <c:v>40360</c:v>
                </c:pt>
                <c:pt idx="51">
                  <c:v>40452</c:v>
                </c:pt>
                <c:pt idx="52">
                  <c:v>40544</c:v>
                </c:pt>
                <c:pt idx="53">
                  <c:v>40634</c:v>
                </c:pt>
                <c:pt idx="54">
                  <c:v>40725</c:v>
                </c:pt>
                <c:pt idx="55">
                  <c:v>40817</c:v>
                </c:pt>
                <c:pt idx="56">
                  <c:v>40909</c:v>
                </c:pt>
                <c:pt idx="57">
                  <c:v>41000</c:v>
                </c:pt>
                <c:pt idx="58">
                  <c:v>41091</c:v>
                </c:pt>
                <c:pt idx="59">
                  <c:v>41183</c:v>
                </c:pt>
                <c:pt idx="60">
                  <c:v>41275</c:v>
                </c:pt>
                <c:pt idx="61">
                  <c:v>41365</c:v>
                </c:pt>
                <c:pt idx="62">
                  <c:v>41456</c:v>
                </c:pt>
                <c:pt idx="63">
                  <c:v>41548</c:v>
                </c:pt>
                <c:pt idx="64">
                  <c:v>41640</c:v>
                </c:pt>
                <c:pt idx="65">
                  <c:v>41730</c:v>
                </c:pt>
                <c:pt idx="66">
                  <c:v>41821</c:v>
                </c:pt>
                <c:pt idx="67">
                  <c:v>41913</c:v>
                </c:pt>
                <c:pt idx="68">
                  <c:v>42005</c:v>
                </c:pt>
                <c:pt idx="69">
                  <c:v>42095</c:v>
                </c:pt>
                <c:pt idx="70">
                  <c:v>42186</c:v>
                </c:pt>
                <c:pt idx="71">
                  <c:v>42278</c:v>
                </c:pt>
                <c:pt idx="72">
                  <c:v>42370</c:v>
                </c:pt>
                <c:pt idx="73">
                  <c:v>42461</c:v>
                </c:pt>
                <c:pt idx="74">
                  <c:v>42552</c:v>
                </c:pt>
                <c:pt idx="75">
                  <c:v>42644</c:v>
                </c:pt>
                <c:pt idx="76">
                  <c:v>42736</c:v>
                </c:pt>
                <c:pt idx="77">
                  <c:v>42826</c:v>
                </c:pt>
                <c:pt idx="78">
                  <c:v>42917</c:v>
                </c:pt>
                <c:pt idx="79">
                  <c:v>43009</c:v>
                </c:pt>
                <c:pt idx="80">
                  <c:v>43101</c:v>
                </c:pt>
                <c:pt idx="81">
                  <c:v>43191</c:v>
                </c:pt>
                <c:pt idx="82">
                  <c:v>43282</c:v>
                </c:pt>
                <c:pt idx="83">
                  <c:v>43374</c:v>
                </c:pt>
                <c:pt idx="84">
                  <c:v>43466</c:v>
                </c:pt>
                <c:pt idx="85">
                  <c:v>43556</c:v>
                </c:pt>
                <c:pt idx="86">
                  <c:v>43647</c:v>
                </c:pt>
                <c:pt idx="87">
                  <c:v>43739</c:v>
                </c:pt>
                <c:pt idx="88">
                  <c:v>43831</c:v>
                </c:pt>
                <c:pt idx="89">
                  <c:v>43922</c:v>
                </c:pt>
                <c:pt idx="90">
                  <c:v>44013</c:v>
                </c:pt>
                <c:pt idx="91">
                  <c:v>44105</c:v>
                </c:pt>
                <c:pt idx="92">
                  <c:v>44197</c:v>
                </c:pt>
                <c:pt idx="93">
                  <c:v>44287</c:v>
                </c:pt>
                <c:pt idx="94">
                  <c:v>44378</c:v>
                </c:pt>
                <c:pt idx="95">
                  <c:v>44470</c:v>
                </c:pt>
                <c:pt idx="96">
                  <c:v>44562</c:v>
                </c:pt>
                <c:pt idx="97">
                  <c:v>44652</c:v>
                </c:pt>
                <c:pt idx="98">
                  <c:v>44743</c:v>
                </c:pt>
                <c:pt idx="99">
                  <c:v>44835</c:v>
                </c:pt>
                <c:pt idx="100">
                  <c:v>44927</c:v>
                </c:pt>
                <c:pt idx="101">
                  <c:v>45017</c:v>
                </c:pt>
                <c:pt idx="102">
                  <c:v>45108</c:v>
                </c:pt>
                <c:pt idx="103">
                  <c:v>45200</c:v>
                </c:pt>
              </c:numCache>
            </c:numRef>
          </c:cat>
          <c:val>
            <c:numRef>
              <c:f>output.ch!$H$2:$H$105</c:f>
              <c:numCache>
                <c:formatCode>#,##0.00</c:formatCode>
                <c:ptCount val="104"/>
                <c:pt idx="0">
                  <c:v>15.5566666666667</c:v>
                </c:pt>
                <c:pt idx="1">
                  <c:v>14.61</c:v>
                </c:pt>
                <c:pt idx="2">
                  <c:v>23.086666666666702</c:v>
                </c:pt>
                <c:pt idx="3">
                  <c:v>16.726666666666699</c:v>
                </c:pt>
                <c:pt idx="4">
                  <c:v>8.6766666666666694</c:v>
                </c:pt>
                <c:pt idx="5">
                  <c:v>10.7633333333333</c:v>
                </c:pt>
                <c:pt idx="6">
                  <c:v>6.5033333333333303</c:v>
                </c:pt>
                <c:pt idx="7">
                  <c:v>8.2799999999999994</c:v>
                </c:pt>
                <c:pt idx="8">
                  <c:v>9.41</c:v>
                </c:pt>
                <c:pt idx="9">
                  <c:v>11.9333333333333</c:v>
                </c:pt>
                <c:pt idx="10">
                  <c:v>7.6933333333333298</c:v>
                </c:pt>
                <c:pt idx="11">
                  <c:v>11.36</c:v>
                </c:pt>
                <c:pt idx="12">
                  <c:v>5.68333333333333</c:v>
                </c:pt>
                <c:pt idx="13">
                  <c:v>8.91</c:v>
                </c:pt>
                <c:pt idx="14">
                  <c:v>5.98</c:v>
                </c:pt>
                <c:pt idx="15">
                  <c:v>6.5866666666666696</c:v>
                </c:pt>
                <c:pt idx="16">
                  <c:v>5.7533333333333303</c:v>
                </c:pt>
                <c:pt idx="17">
                  <c:v>4.34</c:v>
                </c:pt>
                <c:pt idx="18">
                  <c:v>3.2066666666666701</c:v>
                </c:pt>
                <c:pt idx="19">
                  <c:v>3.0066666666666699</c:v>
                </c:pt>
                <c:pt idx="20">
                  <c:v>2.7466666666666701</c:v>
                </c:pt>
                <c:pt idx="21">
                  <c:v>2.74</c:v>
                </c:pt>
                <c:pt idx="22">
                  <c:v>2.7466666666666701</c:v>
                </c:pt>
                <c:pt idx="23">
                  <c:v>2.65</c:v>
                </c:pt>
                <c:pt idx="24">
                  <c:v>1.7766666666666699</c:v>
                </c:pt>
                <c:pt idx="25">
                  <c:v>1.7466666666666699</c:v>
                </c:pt>
                <c:pt idx="26">
                  <c:v>1.8</c:v>
                </c:pt>
                <c:pt idx="27">
                  <c:v>2.1866666666666701</c:v>
                </c:pt>
                <c:pt idx="28">
                  <c:v>2.6466666666666701</c:v>
                </c:pt>
                <c:pt idx="29">
                  <c:v>3.2066666666666701</c:v>
                </c:pt>
                <c:pt idx="30">
                  <c:v>3.69</c:v>
                </c:pt>
                <c:pt idx="31">
                  <c:v>4.35666666666667</c:v>
                </c:pt>
                <c:pt idx="32">
                  <c:v>4.5933333333333302</c:v>
                </c:pt>
                <c:pt idx="33">
                  <c:v>4.9633333333333303</c:v>
                </c:pt>
                <c:pt idx="34">
                  <c:v>5.2333333333333298</c:v>
                </c:pt>
                <c:pt idx="35">
                  <c:v>5.2966666666666704</c:v>
                </c:pt>
                <c:pt idx="36">
                  <c:v>5.0833333333333304</c:v>
                </c:pt>
                <c:pt idx="37">
                  <c:v>5.08</c:v>
                </c:pt>
                <c:pt idx="38">
                  <c:v>5.4533333333333296</c:v>
                </c:pt>
                <c:pt idx="39">
                  <c:v>5.8133333333333299</c:v>
                </c:pt>
                <c:pt idx="40">
                  <c:v>6.2233333333333301</c:v>
                </c:pt>
                <c:pt idx="41">
                  <c:v>6.3866666666666703</c:v>
                </c:pt>
                <c:pt idx="42">
                  <c:v>7.58</c:v>
                </c:pt>
                <c:pt idx="43">
                  <c:v>8.24</c:v>
                </c:pt>
                <c:pt idx="44">
                  <c:v>5.4933333333333296</c:v>
                </c:pt>
                <c:pt idx="45">
                  <c:v>1.40333333333333</c:v>
                </c:pt>
                <c:pt idx="46">
                  <c:v>0.46333333333333299</c:v>
                </c:pt>
                <c:pt idx="47">
                  <c:v>0.43</c:v>
                </c:pt>
                <c:pt idx="48">
                  <c:v>0.42666666666666703</c:v>
                </c:pt>
                <c:pt idx="49">
                  <c:v>0.51333333333333298</c:v>
                </c:pt>
                <c:pt idx="50">
                  <c:v>1.76</c:v>
                </c:pt>
                <c:pt idx="51">
                  <c:v>2.9066666666666698</c:v>
                </c:pt>
                <c:pt idx="52">
                  <c:v>3.4366666666666701</c:v>
                </c:pt>
                <c:pt idx="53">
                  <c:v>4.7366666666666699</c:v>
                </c:pt>
                <c:pt idx="54">
                  <c:v>5.2466666666666697</c:v>
                </c:pt>
                <c:pt idx="55">
                  <c:v>5.2433333333333296</c:v>
                </c:pt>
                <c:pt idx="56">
                  <c:v>5.01</c:v>
                </c:pt>
                <c:pt idx="57">
                  <c:v>5.0133333333333301</c:v>
                </c:pt>
                <c:pt idx="58">
                  <c:v>4.9933333333333296</c:v>
                </c:pt>
                <c:pt idx="59">
                  <c:v>5.0066666666666704</c:v>
                </c:pt>
                <c:pt idx="60">
                  <c:v>5.0033333333333303</c:v>
                </c:pt>
                <c:pt idx="61">
                  <c:v>5.0066666666666704</c:v>
                </c:pt>
                <c:pt idx="62">
                  <c:v>5.01</c:v>
                </c:pt>
                <c:pt idx="63">
                  <c:v>4.68333333333333</c:v>
                </c:pt>
                <c:pt idx="64">
                  <c:v>4.3333333333333304</c:v>
                </c:pt>
                <c:pt idx="65">
                  <c:v>4</c:v>
                </c:pt>
                <c:pt idx="66">
                  <c:v>3.62</c:v>
                </c:pt>
                <c:pt idx="67">
                  <c:v>3.0533333333333301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3.2433333333333301</c:v>
                </c:pt>
                <c:pt idx="72">
                  <c:v>3.5</c:v>
                </c:pt>
                <c:pt idx="73">
                  <c:v>3.5</c:v>
                </c:pt>
                <c:pt idx="74">
                  <c:v>3.5</c:v>
                </c:pt>
                <c:pt idx="75">
                  <c:v>3.4933333333333301</c:v>
                </c:pt>
                <c:pt idx="76">
                  <c:v>3.28</c:v>
                </c:pt>
                <c:pt idx="77">
                  <c:v>2.6733333333333298</c:v>
                </c:pt>
                <c:pt idx="78">
                  <c:v>2.5</c:v>
                </c:pt>
                <c:pt idx="79">
                  <c:v>2.5</c:v>
                </c:pt>
                <c:pt idx="80">
                  <c:v>2.4966666666666701</c:v>
                </c:pt>
                <c:pt idx="81">
                  <c:v>2.4933333333333301</c:v>
                </c:pt>
                <c:pt idx="82">
                  <c:v>2.4966666666666701</c:v>
                </c:pt>
                <c:pt idx="83">
                  <c:v>2.7</c:v>
                </c:pt>
                <c:pt idx="84">
                  <c:v>2.92</c:v>
                </c:pt>
                <c:pt idx="85">
                  <c:v>2.87333333333333</c:v>
                </c:pt>
                <c:pt idx="86">
                  <c:v>2.3466666666666698</c:v>
                </c:pt>
                <c:pt idx="87">
                  <c:v>1.78666666666667</c:v>
                </c:pt>
                <c:pt idx="88">
                  <c:v>1.63666666666667</c:v>
                </c:pt>
                <c:pt idx="89">
                  <c:v>0.48666666666666702</c:v>
                </c:pt>
                <c:pt idx="90">
                  <c:v>0.38333333333333303</c:v>
                </c:pt>
                <c:pt idx="91">
                  <c:v>0.3</c:v>
                </c:pt>
                <c:pt idx="92">
                  <c:v>0.3</c:v>
                </c:pt>
                <c:pt idx="93">
                  <c:v>0.30666666666666698</c:v>
                </c:pt>
                <c:pt idx="94">
                  <c:v>0.93</c:v>
                </c:pt>
                <c:pt idx="95">
                  <c:v>2.79</c:v>
                </c:pt>
                <c:pt idx="96">
                  <c:v>5.09</c:v>
                </c:pt>
                <c:pt idx="97">
                  <c:v>7.9466666666666699</c:v>
                </c:pt>
                <c:pt idx="98">
                  <c:v>10.016666666666699</c:v>
                </c:pt>
                <c:pt idx="99">
                  <c:v>11.223333333333301</c:v>
                </c:pt>
                <c:pt idx="100">
                  <c:v>11.25</c:v>
                </c:pt>
                <c:pt idx="101">
                  <c:v>11.25</c:v>
                </c:pt>
                <c:pt idx="102">
                  <c:v>10.35</c:v>
                </c:pt>
                <c:pt idx="103">
                  <c:v>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6D-4334-9728-98D508E97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821871"/>
        <c:axId val="610819471"/>
      </c:lineChart>
      <c:dateAx>
        <c:axId val="6108218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19471"/>
        <c:crosses val="autoZero"/>
        <c:auto val="1"/>
        <c:lblOffset val="100"/>
        <c:baseTimeUnit val="months"/>
      </c:dateAx>
      <c:valAx>
        <c:axId val="6108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2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4</xdr:row>
      <xdr:rowOff>39687</xdr:rowOff>
    </xdr:from>
    <xdr:to>
      <xdr:col>19</xdr:col>
      <xdr:colOff>533400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F5229-DA67-87F6-6A55-088F5C177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670C-B53D-4656-A478-8B3A5A88C320}">
  <dimension ref="A1:AC105"/>
  <sheetViews>
    <sheetView tabSelected="1" workbookViewId="0">
      <selection activeCell="V14" sqref="V14"/>
    </sheetView>
  </sheetViews>
  <sheetFormatPr defaultRowHeight="14.5" x14ac:dyDescent="0.35"/>
  <cols>
    <col min="6" max="6" width="8.90625" customWidth="1"/>
    <col min="7" max="9" width="8.7265625" style="3"/>
    <col min="22" max="22" width="26.72656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29</v>
      </c>
      <c r="H1" s="3" t="s">
        <v>30</v>
      </c>
      <c r="I1" s="3" t="s">
        <v>35</v>
      </c>
      <c r="J1" t="s">
        <v>6</v>
      </c>
      <c r="Y1" t="s">
        <v>7</v>
      </c>
      <c r="Z1" t="s">
        <v>0</v>
      </c>
      <c r="AA1" t="s">
        <v>8</v>
      </c>
      <c r="AB1" t="s">
        <v>9</v>
      </c>
      <c r="AC1" t="s">
        <v>2</v>
      </c>
    </row>
    <row r="2" spans="1:29" x14ac:dyDescent="0.35">
      <c r="A2" s="1">
        <v>35796</v>
      </c>
      <c r="B2">
        <v>4.22582084147815</v>
      </c>
      <c r="C2">
        <v>4.21260238381962</v>
      </c>
      <c r="D2">
        <v>2.14911926575874E-2</v>
      </c>
      <c r="E2">
        <v>3.75704318266685</v>
      </c>
      <c r="F2">
        <v>5.43235832317961</v>
      </c>
      <c r="G2" s="3">
        <v>7.3412719493109346</v>
      </c>
      <c r="H2" s="4">
        <v>15.5566666666667</v>
      </c>
      <c r="I2" s="5">
        <f>B2+G2</f>
        <v>11.567092790789085</v>
      </c>
      <c r="J2" t="s">
        <v>10</v>
      </c>
    </row>
    <row r="3" spans="1:29" x14ac:dyDescent="0.35">
      <c r="A3" s="1">
        <v>35886</v>
      </c>
      <c r="B3">
        <v>4.79453597855911</v>
      </c>
      <c r="C3">
        <v>4.69075360543376</v>
      </c>
      <c r="D3">
        <v>0.11299410449422401</v>
      </c>
      <c r="E3">
        <v>3.8171372051377799</v>
      </c>
      <c r="F3">
        <v>3.8121323093991299</v>
      </c>
      <c r="G3" s="3">
        <v>6.9673699244273246</v>
      </c>
      <c r="H3" s="4">
        <v>14.61</v>
      </c>
      <c r="I3" s="5">
        <f t="shared" ref="I3:I66" si="0">B3+G3</f>
        <v>11.761905902986435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</row>
    <row r="4" spans="1:29" x14ac:dyDescent="0.35">
      <c r="A4" s="1">
        <v>35977</v>
      </c>
      <c r="B4">
        <v>4.5897076781137098</v>
      </c>
      <c r="C4">
        <v>4.5335174470019197</v>
      </c>
      <c r="D4">
        <v>6.5093181125944699E-2</v>
      </c>
      <c r="E4">
        <v>2.18408238930374</v>
      </c>
      <c r="F4">
        <v>12.423913388297599</v>
      </c>
      <c r="G4" s="3">
        <v>5.3831150302291464</v>
      </c>
      <c r="H4" s="4">
        <v>23.086666666666702</v>
      </c>
      <c r="I4" s="5">
        <f t="shared" si="0"/>
        <v>9.9728227083428571</v>
      </c>
      <c r="J4">
        <v>0.88456056254474003</v>
      </c>
      <c r="K4">
        <v>-0.106758085638987</v>
      </c>
      <c r="L4">
        <v>-5.63683377583135E-2</v>
      </c>
      <c r="M4">
        <v>0.68118051384829903</v>
      </c>
      <c r="N4">
        <v>8.8090473649516707E-2</v>
      </c>
      <c r="O4">
        <v>1.9170514243724901</v>
      </c>
      <c r="P4">
        <v>2.0603043576356099</v>
      </c>
      <c r="Q4">
        <v>0.66174492502172799</v>
      </c>
      <c r="R4">
        <v>0</v>
      </c>
      <c r="S4">
        <v>0.99803619372413899</v>
      </c>
      <c r="T4">
        <v>0.77780247690575299</v>
      </c>
    </row>
    <row r="5" spans="1:29" x14ac:dyDescent="0.35">
      <c r="A5" s="1">
        <v>36069</v>
      </c>
      <c r="B5">
        <v>3.52012947126084</v>
      </c>
      <c r="C5">
        <v>3.6421674957596801</v>
      </c>
      <c r="D5">
        <v>-0.11488551311292999</v>
      </c>
      <c r="E5">
        <v>-0.77026833923321203</v>
      </c>
      <c r="F5">
        <v>6.45853196673953</v>
      </c>
      <c r="G5" s="3">
        <v>7.3002640106978989</v>
      </c>
      <c r="H5" s="4">
        <v>16.726666666666699</v>
      </c>
      <c r="I5" s="5">
        <f t="shared" si="0"/>
        <v>10.820393481958739</v>
      </c>
    </row>
    <row r="6" spans="1:29" x14ac:dyDescent="0.35">
      <c r="A6" s="1">
        <v>36161</v>
      </c>
      <c r="B6">
        <v>3.58237661709332</v>
      </c>
      <c r="C6">
        <v>3.73801756118351</v>
      </c>
      <c r="D6">
        <v>-0.14830020174426001</v>
      </c>
      <c r="E6">
        <v>-1.8691454729091701</v>
      </c>
      <c r="F6">
        <v>-0.801309678917139</v>
      </c>
      <c r="G6" s="3">
        <v>3.931649948607574</v>
      </c>
      <c r="H6" s="4">
        <v>8.6766666666666694</v>
      </c>
      <c r="I6" s="5">
        <f t="shared" si="0"/>
        <v>7.5140265657008936</v>
      </c>
    </row>
    <row r="7" spans="1:29" x14ac:dyDescent="0.35">
      <c r="A7" s="1">
        <v>36251</v>
      </c>
      <c r="B7">
        <v>3.3411629736012398</v>
      </c>
      <c r="C7">
        <v>3.5455204571287</v>
      </c>
      <c r="D7">
        <v>-0.19739476820256599</v>
      </c>
      <c r="E7">
        <v>-2.1390813577919499</v>
      </c>
      <c r="F7">
        <v>2.1359577286596898</v>
      </c>
      <c r="G7" s="3">
        <v>4.5298215347548743</v>
      </c>
      <c r="H7" s="4">
        <v>10.7633333333333</v>
      </c>
      <c r="I7" s="5">
        <f t="shared" si="0"/>
        <v>7.8709845083561145</v>
      </c>
    </row>
    <row r="8" spans="1:29" x14ac:dyDescent="0.35">
      <c r="A8" s="1">
        <v>36342</v>
      </c>
      <c r="B8">
        <v>3.6612475199086698</v>
      </c>
      <c r="C8">
        <v>3.8885441653038102</v>
      </c>
      <c r="D8">
        <v>-0.21966029795935499</v>
      </c>
      <c r="E8">
        <v>-1.7602303578906899</v>
      </c>
      <c r="F8">
        <v>-1.25914285234992</v>
      </c>
      <c r="G8" s="3">
        <v>0.64317916903797734</v>
      </c>
      <c r="H8" s="4">
        <v>6.5033333333333303</v>
      </c>
      <c r="I8" s="5">
        <f t="shared" si="0"/>
        <v>4.3044266889466467</v>
      </c>
      <c r="V8" s="2" t="s">
        <v>34</v>
      </c>
      <c r="W8" s="2"/>
    </row>
    <row r="9" spans="1:29" x14ac:dyDescent="0.35">
      <c r="A9" s="1">
        <v>36434</v>
      </c>
      <c r="B9">
        <v>3.99451345203736</v>
      </c>
      <c r="C9">
        <v>4.1909536307073898</v>
      </c>
      <c r="D9">
        <v>-0.18820995762819701</v>
      </c>
      <c r="E9">
        <v>-0.88293010272286698</v>
      </c>
      <c r="F9">
        <v>1.8964065556761001</v>
      </c>
      <c r="G9" s="3">
        <v>0.45166931674571748</v>
      </c>
      <c r="H9" s="4">
        <v>8.2799999999999994</v>
      </c>
      <c r="I9" s="5">
        <f t="shared" si="0"/>
        <v>4.4461827687830775</v>
      </c>
      <c r="V9" s="2" t="s">
        <v>31</v>
      </c>
      <c r="W9" s="2">
        <f>CORREL(B:B,G:G)</f>
        <v>0.50516907678283185</v>
      </c>
    </row>
    <row r="10" spans="1:29" x14ac:dyDescent="0.35">
      <c r="A10" s="1">
        <v>36526</v>
      </c>
      <c r="B10">
        <v>3.8521127346911102</v>
      </c>
      <c r="C10">
        <v>4.0059843702600402</v>
      </c>
      <c r="D10">
        <v>-0.14600465832161499</v>
      </c>
      <c r="E10">
        <v>-0.46892421625273101</v>
      </c>
      <c r="F10">
        <v>3.2250933370090999</v>
      </c>
      <c r="G10" s="3">
        <v>3.7065056926606221</v>
      </c>
      <c r="H10" s="4">
        <v>9.41</v>
      </c>
      <c r="I10" s="5">
        <f t="shared" si="0"/>
        <v>7.5586184273517318</v>
      </c>
      <c r="V10" s="2" t="s">
        <v>32</v>
      </c>
      <c r="W10" s="2">
        <f>CORREL(B:B,H:H)</f>
        <v>0.46378615184692223</v>
      </c>
    </row>
    <row r="11" spans="1:29" x14ac:dyDescent="0.35">
      <c r="A11" s="1">
        <v>36617</v>
      </c>
      <c r="B11">
        <v>3.6608361172311299</v>
      </c>
      <c r="C11">
        <v>3.7830490767814702</v>
      </c>
      <c r="D11">
        <v>-0.114783784031458</v>
      </c>
      <c r="E11">
        <v>-0.59906670857560596</v>
      </c>
      <c r="F11">
        <v>5.7433494663956104</v>
      </c>
      <c r="G11" s="3">
        <v>5.3152368203819078</v>
      </c>
      <c r="H11" s="4">
        <v>11.9333333333333</v>
      </c>
      <c r="I11" s="5">
        <f t="shared" si="0"/>
        <v>8.9760729376130381</v>
      </c>
      <c r="V11" s="2" t="s">
        <v>33</v>
      </c>
      <c r="W11" s="2">
        <f>CORREL(H:H,I:I)</f>
        <v>0.51356804664857925</v>
      </c>
    </row>
    <row r="12" spans="1:29" x14ac:dyDescent="0.35">
      <c r="A12" s="1">
        <v>36708</v>
      </c>
      <c r="B12">
        <v>3.8433750115737402</v>
      </c>
      <c r="C12">
        <v>4.0430044947346397</v>
      </c>
      <c r="D12">
        <v>-0.191689805560813</v>
      </c>
      <c r="E12">
        <v>-0.81335538286543896</v>
      </c>
      <c r="F12">
        <v>1.2705835283382301</v>
      </c>
      <c r="G12" s="3">
        <v>0.84408734389722628</v>
      </c>
      <c r="H12" s="4">
        <v>7.6933333333333298</v>
      </c>
      <c r="I12" s="5">
        <f t="shared" si="0"/>
        <v>4.6874623554709665</v>
      </c>
    </row>
    <row r="13" spans="1:29" x14ac:dyDescent="0.35">
      <c r="A13" s="1">
        <v>36800</v>
      </c>
      <c r="B13">
        <v>3.87639841879747</v>
      </c>
      <c r="C13">
        <v>4.0407803411933196</v>
      </c>
      <c r="D13">
        <v>-0.156446612602439</v>
      </c>
      <c r="E13">
        <v>-0.63162499682584905</v>
      </c>
      <c r="F13">
        <v>4.46461828991891</v>
      </c>
      <c r="G13" s="3">
        <v>2.2101033081947108</v>
      </c>
      <c r="H13" s="4">
        <v>11.36</v>
      </c>
      <c r="I13" s="5">
        <f t="shared" si="0"/>
        <v>6.0865017269921804</v>
      </c>
    </row>
    <row r="14" spans="1:29" x14ac:dyDescent="0.35">
      <c r="A14" s="1">
        <v>36892</v>
      </c>
      <c r="B14">
        <v>3.8137793226826902</v>
      </c>
      <c r="C14">
        <v>3.9726183303734701</v>
      </c>
      <c r="D14">
        <v>-0.151037554881985</v>
      </c>
      <c r="E14">
        <v>-0.728540306645868</v>
      </c>
      <c r="F14">
        <v>-0.95884966689660001</v>
      </c>
      <c r="G14" s="3">
        <v>2.9441872377151008</v>
      </c>
      <c r="H14" s="4">
        <v>5.68333333333333</v>
      </c>
      <c r="I14" s="5">
        <f t="shared" si="0"/>
        <v>6.757966560397791</v>
      </c>
    </row>
    <row r="15" spans="1:29" x14ac:dyDescent="0.35">
      <c r="A15" s="1">
        <v>36982</v>
      </c>
      <c r="B15">
        <v>3.8043225211672702</v>
      </c>
      <c r="C15">
        <v>3.9566799441999199</v>
      </c>
      <c r="D15">
        <v>-0.14458727012665501</v>
      </c>
      <c r="E15">
        <v>-0.70243474783001103</v>
      </c>
      <c r="F15">
        <v>2.8530739062674102</v>
      </c>
      <c r="G15" s="3">
        <v>3.0120364004542211</v>
      </c>
      <c r="H15" s="4">
        <v>8.91</v>
      </c>
      <c r="I15" s="5">
        <f t="shared" si="0"/>
        <v>6.8163589216214913</v>
      </c>
    </row>
    <row r="16" spans="1:29" x14ac:dyDescent="0.35">
      <c r="A16" s="1">
        <v>37073</v>
      </c>
      <c r="B16">
        <v>3.5223135444465399</v>
      </c>
      <c r="C16">
        <v>3.7431785132606699</v>
      </c>
      <c r="D16">
        <v>-0.213514091358116</v>
      </c>
      <c r="E16">
        <v>-1.25619492901626</v>
      </c>
      <c r="F16">
        <v>-0.21516598061961101</v>
      </c>
      <c r="G16" s="3">
        <v>2.525082798328238</v>
      </c>
      <c r="H16" s="4">
        <v>5.98</v>
      </c>
      <c r="I16" s="5">
        <f t="shared" si="0"/>
        <v>6.0473963427747783</v>
      </c>
    </row>
    <row r="17" spans="1:18" x14ac:dyDescent="0.35">
      <c r="A17" s="1">
        <v>37165</v>
      </c>
      <c r="B17">
        <v>3.4535620846596</v>
      </c>
      <c r="C17">
        <v>3.6678021437627999</v>
      </c>
      <c r="D17">
        <v>-0.20703720623466401</v>
      </c>
      <c r="E17">
        <v>-1.31259212431587</v>
      </c>
      <c r="F17">
        <v>0.29331555940860099</v>
      </c>
      <c r="G17" s="3">
        <v>2.877849653896325</v>
      </c>
      <c r="H17" s="4">
        <v>6.5866666666666696</v>
      </c>
      <c r="I17" s="5">
        <f t="shared" si="0"/>
        <v>6.331411738555925</v>
      </c>
    </row>
    <row r="18" spans="1:18" x14ac:dyDescent="0.35">
      <c r="A18" s="1">
        <v>37257</v>
      </c>
      <c r="B18">
        <v>3.3456762395261501</v>
      </c>
      <c r="C18">
        <v>3.64230160234656</v>
      </c>
      <c r="D18">
        <v>-0.28947258807514398</v>
      </c>
      <c r="E18">
        <v>-1.3511824093376399</v>
      </c>
      <c r="F18">
        <v>-0.13598250254934499</v>
      </c>
      <c r="G18" s="3">
        <v>1.7595895327473079</v>
      </c>
      <c r="H18" s="4">
        <v>5.7533333333333303</v>
      </c>
      <c r="I18" s="5">
        <f t="shared" si="0"/>
        <v>5.1052657722734578</v>
      </c>
    </row>
    <row r="19" spans="1:18" x14ac:dyDescent="0.35">
      <c r="A19" s="1">
        <v>37347</v>
      </c>
      <c r="B19">
        <v>3.3152402092820799</v>
      </c>
      <c r="C19">
        <v>3.55289243093089</v>
      </c>
      <c r="D19">
        <v>-0.23067502919548399</v>
      </c>
      <c r="E19">
        <v>-1.1153253192550201</v>
      </c>
      <c r="F19">
        <v>-1.5208016851686901</v>
      </c>
      <c r="G19" s="3">
        <v>3.0197239185745679</v>
      </c>
      <c r="H19" s="4">
        <v>4.34</v>
      </c>
      <c r="I19" s="5">
        <f t="shared" si="0"/>
        <v>6.3349641278566473</v>
      </c>
    </row>
    <row r="20" spans="1:18" x14ac:dyDescent="0.35">
      <c r="A20" s="1">
        <v>37438</v>
      </c>
      <c r="B20">
        <v>3.1923284922311099</v>
      </c>
      <c r="C20">
        <v>3.5956896064883201</v>
      </c>
      <c r="D20">
        <v>-0.39629987644194398</v>
      </c>
      <c r="E20">
        <v>-1.1501465490592899</v>
      </c>
      <c r="F20">
        <v>-2.0629746920785599</v>
      </c>
      <c r="G20" s="3">
        <v>0.65208836083827659</v>
      </c>
      <c r="H20" s="4">
        <v>3.2066666666666701</v>
      </c>
      <c r="I20" s="5">
        <f t="shared" si="0"/>
        <v>3.8444168530693865</v>
      </c>
      <c r="J20" t="s">
        <v>22</v>
      </c>
      <c r="N20" t="s">
        <v>23</v>
      </c>
    </row>
    <row r="21" spans="1:18" x14ac:dyDescent="0.35">
      <c r="A21" s="1">
        <v>37530</v>
      </c>
      <c r="B21">
        <v>3.3319523933412398</v>
      </c>
      <c r="C21">
        <v>3.56957329746515</v>
      </c>
      <c r="D21">
        <v>-0.23061095368020099</v>
      </c>
      <c r="E21">
        <v>-0.43470973591036</v>
      </c>
      <c r="F21">
        <v>-2.4474865730925002</v>
      </c>
      <c r="G21" s="3">
        <v>3.057401573511553</v>
      </c>
      <c r="H21" s="4">
        <v>3.0066666666666699</v>
      </c>
      <c r="I21" s="5">
        <f t="shared" si="0"/>
        <v>6.3893539668527932</v>
      </c>
      <c r="J21" t="s">
        <v>24</v>
      </c>
      <c r="K21">
        <v>0.12504112398494499</v>
      </c>
      <c r="N21">
        <v>-440.41344556988298</v>
      </c>
    </row>
    <row r="22" spans="1:18" x14ac:dyDescent="0.35">
      <c r="A22" s="1">
        <v>37622</v>
      </c>
      <c r="B22">
        <v>3.4021850796438899</v>
      </c>
      <c r="C22">
        <v>3.5938021784929099</v>
      </c>
      <c r="D22">
        <v>-0.18455956757669401</v>
      </c>
      <c r="E22">
        <v>2.2079675498048301E-2</v>
      </c>
      <c r="F22">
        <v>-3.0949429353675701</v>
      </c>
      <c r="G22" s="3">
        <v>3.028484236637019</v>
      </c>
      <c r="H22" s="4">
        <v>2.7466666666666701</v>
      </c>
      <c r="I22" s="5">
        <f t="shared" si="0"/>
        <v>6.430669316280909</v>
      </c>
      <c r="J22" t="s">
        <v>25</v>
      </c>
      <c r="K22">
        <v>3.0448212900254502E-2</v>
      </c>
      <c r="P22">
        <f>(K22*O4/L4)^2</f>
        <v>1.0723108114278295</v>
      </c>
    </row>
    <row r="23" spans="1:18" x14ac:dyDescent="0.35">
      <c r="A23" s="1">
        <v>37712</v>
      </c>
      <c r="B23">
        <v>3.4686376588102301</v>
      </c>
      <c r="C23">
        <v>3.5559665467367498</v>
      </c>
      <c r="D23">
        <v>-8.0345658505282497E-2</v>
      </c>
      <c r="E23">
        <v>0.35733714232355901</v>
      </c>
      <c r="F23">
        <v>-3.3920568846002301</v>
      </c>
      <c r="G23" s="3">
        <v>3.9157027321731648</v>
      </c>
      <c r="H23" s="4">
        <v>2.74</v>
      </c>
      <c r="I23" s="5">
        <f t="shared" si="0"/>
        <v>7.3843403909833949</v>
      </c>
    </row>
    <row r="24" spans="1:18" x14ac:dyDescent="0.35">
      <c r="A24" s="1">
        <v>37803</v>
      </c>
      <c r="B24">
        <v>3.1342436530292002</v>
      </c>
      <c r="C24">
        <v>3.6008068563619502</v>
      </c>
      <c r="D24">
        <v>-0.45949191623005903</v>
      </c>
      <c r="E24">
        <v>-0.20624105066656301</v>
      </c>
      <c r="F24">
        <v>-2.8199437155349201</v>
      </c>
      <c r="G24" s="3">
        <v>-0.27212162563219339</v>
      </c>
      <c r="H24" s="4">
        <v>2.7466666666666701</v>
      </c>
      <c r="I24" s="5">
        <f t="shared" si="0"/>
        <v>2.8621220273970067</v>
      </c>
    </row>
    <row r="25" spans="1:18" x14ac:dyDescent="0.35">
      <c r="A25" s="1">
        <v>37895</v>
      </c>
      <c r="B25">
        <v>2.9306105780549201</v>
      </c>
      <c r="C25">
        <v>3.5532525628215801</v>
      </c>
      <c r="D25">
        <v>-0.61566408508407</v>
      </c>
      <c r="E25">
        <v>-0.471630249295799</v>
      </c>
      <c r="F25">
        <v>-1.84252382901073</v>
      </c>
      <c r="G25" s="3">
        <v>-0.42441233935477379</v>
      </c>
      <c r="H25" s="4">
        <v>2.65</v>
      </c>
      <c r="I25" s="5">
        <f t="shared" si="0"/>
        <v>2.5061982387001462</v>
      </c>
      <c r="J25" t="s">
        <v>26</v>
      </c>
    </row>
    <row r="26" spans="1:18" x14ac:dyDescent="0.35">
      <c r="A26" s="1">
        <v>37987</v>
      </c>
      <c r="B26">
        <v>3.12140449704347</v>
      </c>
      <c r="C26">
        <v>3.6996245729868802</v>
      </c>
      <c r="D26">
        <v>-0.57095472998865404</v>
      </c>
      <c r="E26">
        <v>0.23774472751244999</v>
      </c>
      <c r="F26">
        <v>-2.2529455086966999</v>
      </c>
      <c r="G26" s="3">
        <v>0.41366194609342433</v>
      </c>
      <c r="H26" s="4">
        <v>1.7766666666666699</v>
      </c>
      <c r="I26" s="5">
        <f t="shared" si="0"/>
        <v>3.5350664431368943</v>
      </c>
      <c r="J26" t="s">
        <v>27</v>
      </c>
    </row>
    <row r="27" spans="1:18" x14ac:dyDescent="0.35">
      <c r="A27" s="1">
        <v>38078</v>
      </c>
      <c r="B27">
        <v>3.3610883467686699</v>
      </c>
      <c r="C27">
        <v>3.7907021091719799</v>
      </c>
      <c r="D27">
        <v>-0.42216955781139298</v>
      </c>
      <c r="E27">
        <v>0.96773451024716906</v>
      </c>
      <c r="F27">
        <v>-1.9596837286311299</v>
      </c>
      <c r="G27" s="3">
        <v>1.663920213010051</v>
      </c>
      <c r="H27" s="4">
        <v>1.7466666666666699</v>
      </c>
      <c r="I27" s="5">
        <f t="shared" si="0"/>
        <v>5.0250085597787209</v>
      </c>
      <c r="J27">
        <v>998.63013190762001</v>
      </c>
      <c r="K27">
        <v>997.62178126093704</v>
      </c>
      <c r="L27">
        <v>996.61352303570698</v>
      </c>
      <c r="M27">
        <v>1.0083506466827401</v>
      </c>
      <c r="N27">
        <v>1.0082582252302099</v>
      </c>
      <c r="O27">
        <v>1.0082371554396701</v>
      </c>
      <c r="P27">
        <v>0</v>
      </c>
      <c r="Q27">
        <v>0</v>
      </c>
      <c r="R27">
        <v>0</v>
      </c>
    </row>
    <row r="28" spans="1:18" x14ac:dyDescent="0.35">
      <c r="A28" s="1">
        <v>38169</v>
      </c>
      <c r="B28">
        <v>3.6675867568399698</v>
      </c>
      <c r="C28">
        <v>4.0316491479378804</v>
      </c>
      <c r="D28">
        <v>-0.35614501319911601</v>
      </c>
      <c r="E28">
        <v>1.80210432870808</v>
      </c>
      <c r="F28">
        <v>-2.5780193347126099</v>
      </c>
      <c r="G28" s="3">
        <v>1.1885604917418751</v>
      </c>
      <c r="H28" s="4">
        <v>1.8</v>
      </c>
      <c r="I28" s="5">
        <f t="shared" si="0"/>
        <v>4.8561472485818449</v>
      </c>
    </row>
    <row r="29" spans="1:18" x14ac:dyDescent="0.35">
      <c r="A29" s="1">
        <v>38261</v>
      </c>
      <c r="B29">
        <v>3.76427191014545</v>
      </c>
      <c r="C29">
        <v>4.1467845998216104</v>
      </c>
      <c r="D29">
        <v>-0.37436920805437801</v>
      </c>
      <c r="E29">
        <v>1.99942506994284</v>
      </c>
      <c r="F29">
        <v>-2.58572713617058</v>
      </c>
      <c r="G29" s="3">
        <v>0.76634491992182419</v>
      </c>
      <c r="H29" s="4">
        <v>2.1866666666666701</v>
      </c>
      <c r="I29" s="5">
        <f t="shared" si="0"/>
        <v>4.5306168300672738</v>
      </c>
      <c r="J29" t="s">
        <v>28</v>
      </c>
    </row>
    <row r="30" spans="1:18" x14ac:dyDescent="0.35">
      <c r="A30" s="1">
        <v>38353</v>
      </c>
      <c r="B30">
        <v>3.7033431990650998</v>
      </c>
      <c r="C30">
        <v>4.0291595259205604</v>
      </c>
      <c r="D30">
        <v>-0.31790383809200401</v>
      </c>
      <c r="E30">
        <v>1.50340704954419</v>
      </c>
      <c r="F30">
        <v>-2.3848039435005899</v>
      </c>
      <c r="G30" s="3">
        <v>1.693684019734865</v>
      </c>
      <c r="H30" s="4">
        <v>2.6466666666666701</v>
      </c>
      <c r="I30" s="5">
        <f t="shared" si="0"/>
        <v>5.3970272187999644</v>
      </c>
      <c r="J30">
        <v>0.69365806972619803</v>
      </c>
      <c r="K30">
        <v>0.2</v>
      </c>
      <c r="L30">
        <v>0</v>
      </c>
      <c r="M30">
        <v>0.2</v>
      </c>
      <c r="N30">
        <v>0.2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 s="1">
        <v>38443</v>
      </c>
      <c r="B31">
        <v>4.0436623697328402</v>
      </c>
      <c r="C31">
        <v>4.1254446280410599</v>
      </c>
      <c r="D31">
        <v>-7.3680684256954398E-2</v>
      </c>
      <c r="E31">
        <v>1.91379526416495</v>
      </c>
      <c r="F31">
        <v>-2.5526983354958799</v>
      </c>
      <c r="G31" s="3">
        <v>3.2142210983202579</v>
      </c>
      <c r="H31" s="4">
        <v>3.2066666666666701</v>
      </c>
      <c r="I31" s="5">
        <f t="shared" si="0"/>
        <v>7.2578834680530981</v>
      </c>
      <c r="J31">
        <v>0.2</v>
      </c>
      <c r="K31">
        <v>0.2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 s="1">
        <v>38534</v>
      </c>
      <c r="B32">
        <v>4.2993717964382601</v>
      </c>
      <c r="C32">
        <v>4.3707954314883297</v>
      </c>
      <c r="D32">
        <v>-6.2840239551209806E-2</v>
      </c>
      <c r="E32">
        <v>2.4497344433464101</v>
      </c>
      <c r="F32">
        <v>-2.6194606980617601</v>
      </c>
      <c r="G32" s="3">
        <v>2.3661055685170411</v>
      </c>
      <c r="H32" s="4">
        <v>3.69</v>
      </c>
      <c r="I32" s="5">
        <f t="shared" si="0"/>
        <v>6.6654773649553007</v>
      </c>
      <c r="J32">
        <v>0</v>
      </c>
      <c r="K32">
        <v>0</v>
      </c>
      <c r="L32">
        <v>0.2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 s="1">
        <v>38626</v>
      </c>
      <c r="B33">
        <v>4.3718460810642696</v>
      </c>
      <c r="C33">
        <v>4.4248710106787401</v>
      </c>
      <c r="D33">
        <v>-4.4335340153822199E-2</v>
      </c>
      <c r="E33">
        <v>2.3749407557897899</v>
      </c>
      <c r="F33">
        <v>-2.4477379308501899</v>
      </c>
      <c r="G33" s="3">
        <v>2.4562233792382089</v>
      </c>
      <c r="H33" s="4">
        <v>4.35666666666667</v>
      </c>
      <c r="I33" s="5">
        <f t="shared" si="0"/>
        <v>6.8280694603024781</v>
      </c>
      <c r="J33">
        <v>0.2</v>
      </c>
      <c r="K33">
        <v>0</v>
      </c>
      <c r="L33">
        <v>0</v>
      </c>
      <c r="M33">
        <v>0.20459142693361099</v>
      </c>
      <c r="N33">
        <v>0.2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 s="1">
        <v>38718</v>
      </c>
      <c r="B34">
        <v>4.3958760471596898</v>
      </c>
      <c r="C34">
        <v>4.45198144703145</v>
      </c>
      <c r="D34">
        <v>-4.73625707660595E-2</v>
      </c>
      <c r="E34">
        <v>2.07541378843348</v>
      </c>
      <c r="F34">
        <v>-2.45891789728265</v>
      </c>
      <c r="G34" s="3">
        <v>2.5889506877496249</v>
      </c>
      <c r="H34" s="4">
        <v>4.5933333333333302</v>
      </c>
      <c r="I34" s="5">
        <f t="shared" si="0"/>
        <v>6.9848267349093147</v>
      </c>
      <c r="J34">
        <v>0.2</v>
      </c>
      <c r="K34">
        <v>0</v>
      </c>
      <c r="L34">
        <v>0</v>
      </c>
      <c r="M34">
        <v>0.2</v>
      </c>
      <c r="N34">
        <v>0.2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 s="1">
        <v>38808</v>
      </c>
      <c r="B35">
        <v>4.92651068860952</v>
      </c>
      <c r="C35">
        <v>4.5837469770958297</v>
      </c>
      <c r="D35">
        <v>0.35176530259426098</v>
      </c>
      <c r="E35">
        <v>2.7237970678997998</v>
      </c>
      <c r="F35">
        <v>-3.0805712776587901</v>
      </c>
      <c r="G35" s="3">
        <v>5.0582960540255462</v>
      </c>
      <c r="H35" s="4">
        <v>4.9633333333333303</v>
      </c>
      <c r="I35" s="5">
        <f t="shared" si="0"/>
        <v>9.9848067426350653</v>
      </c>
      <c r="J35">
        <v>0</v>
      </c>
      <c r="K35">
        <v>0</v>
      </c>
      <c r="L35">
        <v>0</v>
      </c>
      <c r="M35">
        <v>0</v>
      </c>
      <c r="N35">
        <v>0</v>
      </c>
      <c r="O35">
        <v>0.2</v>
      </c>
      <c r="P35">
        <v>0</v>
      </c>
      <c r="Q35">
        <v>0</v>
      </c>
      <c r="R35">
        <v>0</v>
      </c>
    </row>
    <row r="36" spans="1:18" x14ac:dyDescent="0.35">
      <c r="A36" s="1">
        <v>38899</v>
      </c>
      <c r="B36">
        <v>4.6356846719936504</v>
      </c>
      <c r="C36">
        <v>4.74528456115784</v>
      </c>
      <c r="D36">
        <v>-0.100281069562243</v>
      </c>
      <c r="E36">
        <v>2.2071520658316799</v>
      </c>
      <c r="F36">
        <v>-2.2984555330290002</v>
      </c>
      <c r="G36" s="3">
        <v>1.480946656461346</v>
      </c>
      <c r="H36" s="4">
        <v>5.2333333333333298</v>
      </c>
      <c r="I36" s="5">
        <f t="shared" si="0"/>
        <v>6.1166313284549965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3.7160149909771101</v>
      </c>
      <c r="Q36">
        <v>0.2</v>
      </c>
      <c r="R36">
        <v>0</v>
      </c>
    </row>
    <row r="37" spans="1:18" x14ac:dyDescent="0.35">
      <c r="A37" s="1">
        <v>38991</v>
      </c>
      <c r="B37">
        <v>4.7977021932075399</v>
      </c>
      <c r="C37">
        <v>4.9472390880458299</v>
      </c>
      <c r="D37">
        <v>-0.13982147566900199</v>
      </c>
      <c r="E37">
        <v>2.4325048787739001</v>
      </c>
      <c r="F37">
        <v>-2.2134086506085699</v>
      </c>
      <c r="G37" s="3">
        <v>1.7212990980342899</v>
      </c>
      <c r="H37" s="4">
        <v>5.2966666666666704</v>
      </c>
      <c r="I37" s="5">
        <f t="shared" si="0"/>
        <v>6.51900129124183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0.2</v>
      </c>
      <c r="Q37">
        <v>0.2</v>
      </c>
      <c r="R37">
        <v>0</v>
      </c>
    </row>
    <row r="38" spans="1:18" x14ac:dyDescent="0.35">
      <c r="A38" s="1">
        <v>39083</v>
      </c>
      <c r="B38">
        <v>4.9625095707290496</v>
      </c>
      <c r="C38">
        <v>4.9370613176708504</v>
      </c>
      <c r="D38">
        <v>3.5143685058143699E-2</v>
      </c>
      <c r="E38">
        <v>2.316756808734</v>
      </c>
      <c r="F38">
        <v>-2.7869791200572598</v>
      </c>
      <c r="G38" s="3">
        <v>3.3706697221249859</v>
      </c>
      <c r="H38" s="4">
        <v>5.0833333333333304</v>
      </c>
      <c r="I38" s="5">
        <f t="shared" si="0"/>
        <v>8.3331792928540356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</v>
      </c>
    </row>
    <row r="39" spans="1:18" x14ac:dyDescent="0.35">
      <c r="A39" s="1">
        <v>39173</v>
      </c>
      <c r="B39">
        <v>5.3370921184370799</v>
      </c>
      <c r="C39">
        <v>4.9005883996495596</v>
      </c>
      <c r="D39">
        <v>0.44612752504215503</v>
      </c>
      <c r="E39">
        <v>2.37033970780658</v>
      </c>
      <c r="F39">
        <v>-3.3293863014341398</v>
      </c>
      <c r="G39" s="3">
        <v>5.7162612553676384</v>
      </c>
      <c r="H39" s="4">
        <v>5.08</v>
      </c>
      <c r="I39" s="5">
        <f t="shared" si="0"/>
        <v>11.053353373804718</v>
      </c>
    </row>
    <row r="40" spans="1:18" x14ac:dyDescent="0.35">
      <c r="A40" s="1">
        <v>39264</v>
      </c>
      <c r="B40">
        <v>5.6648639668580296</v>
      </c>
      <c r="C40">
        <v>4.7369091295881498</v>
      </c>
      <c r="D40">
        <v>0.93725720914675004</v>
      </c>
      <c r="E40">
        <v>2.1545143540229201</v>
      </c>
      <c r="F40">
        <v>-4.8401328348680996</v>
      </c>
      <c r="G40" s="3">
        <v>7.7061787298466911</v>
      </c>
      <c r="H40" s="4">
        <v>5.4533333333333296</v>
      </c>
      <c r="I40" s="5">
        <f t="shared" si="0"/>
        <v>13.37104269670472</v>
      </c>
    </row>
    <row r="41" spans="1:18" x14ac:dyDescent="0.35">
      <c r="A41" s="1">
        <v>39356</v>
      </c>
      <c r="B41">
        <v>5.8548709300443198</v>
      </c>
      <c r="C41">
        <v>4.8879009919594001</v>
      </c>
      <c r="D41">
        <v>0.97656882872871598</v>
      </c>
      <c r="E41">
        <v>2.33605011925874</v>
      </c>
      <c r="F41">
        <v>-5.8825236380753196</v>
      </c>
      <c r="G41" s="3">
        <v>6.5708344581179912</v>
      </c>
      <c r="H41" s="4">
        <v>5.8133333333333299</v>
      </c>
      <c r="I41" s="5">
        <f t="shared" si="0"/>
        <v>12.42570538816231</v>
      </c>
    </row>
    <row r="42" spans="1:18" x14ac:dyDescent="0.35">
      <c r="A42" s="1">
        <v>39448</v>
      </c>
      <c r="B42">
        <v>5.8868611655245502</v>
      </c>
      <c r="C42">
        <v>5.0665691026227702</v>
      </c>
      <c r="D42">
        <v>0.83024182310259398</v>
      </c>
      <c r="E42">
        <v>2.5425428090020401</v>
      </c>
      <c r="F42">
        <v>-6.0245467071553298</v>
      </c>
      <c r="G42" s="3">
        <v>5.4508010565241127</v>
      </c>
      <c r="H42" s="4">
        <v>6.2233333333333301</v>
      </c>
      <c r="I42" s="5">
        <f t="shared" si="0"/>
        <v>11.337662222048664</v>
      </c>
    </row>
    <row r="43" spans="1:18" x14ac:dyDescent="0.35">
      <c r="A43" s="1">
        <v>39539</v>
      </c>
      <c r="B43">
        <v>6.3009149228501</v>
      </c>
      <c r="C43">
        <v>4.8161459757841696</v>
      </c>
      <c r="D43">
        <v>1.4942269247586299</v>
      </c>
      <c r="E43">
        <v>2.45838121428346</v>
      </c>
      <c r="F43">
        <v>-7.2876027662262803</v>
      </c>
      <c r="G43" s="3">
        <v>9.7656037956826314</v>
      </c>
      <c r="H43" s="4">
        <v>6.3866666666666703</v>
      </c>
      <c r="I43" s="5">
        <f t="shared" si="0"/>
        <v>16.066518718532731</v>
      </c>
    </row>
    <row r="44" spans="1:18" x14ac:dyDescent="0.35">
      <c r="A44" s="1">
        <v>39630</v>
      </c>
      <c r="B44">
        <v>5.5685748466465004</v>
      </c>
      <c r="C44">
        <v>4.6165999044641497</v>
      </c>
      <c r="D44">
        <v>0.96104105004787199</v>
      </c>
      <c r="E44">
        <v>0.92107254847564901</v>
      </c>
      <c r="F44">
        <v>-5.0920546484928897</v>
      </c>
      <c r="G44" s="3">
        <v>6.6266798970608276</v>
      </c>
      <c r="H44" s="4">
        <v>7.58</v>
      </c>
      <c r="I44" s="5">
        <f t="shared" si="0"/>
        <v>12.195254743707327</v>
      </c>
    </row>
    <row r="45" spans="1:18" x14ac:dyDescent="0.35">
      <c r="A45" s="1">
        <v>39722</v>
      </c>
      <c r="B45">
        <v>5.3021052542298603</v>
      </c>
      <c r="C45">
        <v>4.31884770404855</v>
      </c>
      <c r="D45">
        <v>0.99173893040700201</v>
      </c>
      <c r="E45">
        <v>-2.3093081409570001E-2</v>
      </c>
      <c r="F45">
        <v>-4.3926240902866098</v>
      </c>
      <c r="G45" s="3">
        <v>7.4789905949594448</v>
      </c>
      <c r="H45" s="4">
        <v>8.24</v>
      </c>
      <c r="I45" s="5">
        <f t="shared" si="0"/>
        <v>12.781095849189306</v>
      </c>
    </row>
    <row r="46" spans="1:18" x14ac:dyDescent="0.35">
      <c r="A46" s="1">
        <v>39814</v>
      </c>
      <c r="B46">
        <v>4.65310841987566</v>
      </c>
      <c r="C46">
        <v>4.1219557314434603</v>
      </c>
      <c r="D46">
        <v>0.53924741096643303</v>
      </c>
      <c r="E46">
        <v>-1.08369920206201</v>
      </c>
      <c r="F46">
        <v>-6.5169149117179597</v>
      </c>
      <c r="G46" s="3">
        <v>5.557285012999591</v>
      </c>
      <c r="H46" s="4">
        <v>5.4933333333333296</v>
      </c>
      <c r="I46" s="5">
        <f t="shared" si="0"/>
        <v>10.21039343287525</v>
      </c>
    </row>
    <row r="47" spans="1:18" x14ac:dyDescent="0.35">
      <c r="A47" s="1">
        <v>39904</v>
      </c>
      <c r="B47">
        <v>3.7221556535709799</v>
      </c>
      <c r="C47">
        <v>3.9028472906062199</v>
      </c>
      <c r="D47">
        <v>-0.17302720103222399</v>
      </c>
      <c r="E47">
        <v>-2.2057027352589098</v>
      </c>
      <c r="F47">
        <v>-8.0454347614401396</v>
      </c>
      <c r="G47" s="3">
        <v>3.2434942597900922</v>
      </c>
      <c r="H47" s="4">
        <v>1.40333333333333</v>
      </c>
      <c r="I47" s="5">
        <f t="shared" si="0"/>
        <v>6.9656499133610721</v>
      </c>
    </row>
    <row r="48" spans="1:18" x14ac:dyDescent="0.35">
      <c r="A48" s="1">
        <v>39995</v>
      </c>
      <c r="B48">
        <v>2.63675903575521</v>
      </c>
      <c r="C48">
        <v>3.9673506734463899</v>
      </c>
      <c r="D48">
        <v>-1.32280052954012</v>
      </c>
      <c r="E48">
        <v>-2.6056570716495999</v>
      </c>
      <c r="F48">
        <v>-5.9470059615278004</v>
      </c>
      <c r="G48" s="3">
        <v>-1.185448831325475</v>
      </c>
      <c r="H48" s="4">
        <v>0.46333333333333299</v>
      </c>
      <c r="I48" s="5">
        <f t="shared" si="0"/>
        <v>1.451310204429735</v>
      </c>
    </row>
    <row r="49" spans="1:9" x14ac:dyDescent="0.35">
      <c r="A49" s="1">
        <v>40087</v>
      </c>
      <c r="B49">
        <v>2.3082763976409502</v>
      </c>
      <c r="C49">
        <v>3.8825435882128398</v>
      </c>
      <c r="D49">
        <v>-1.5666426271070499</v>
      </c>
      <c r="E49">
        <v>-2.17226009286856</v>
      </c>
      <c r="F49">
        <v>-3.71394016387673</v>
      </c>
      <c r="G49" s="3">
        <v>-0.27267537652110319</v>
      </c>
      <c r="H49" s="4">
        <v>0.43</v>
      </c>
      <c r="I49" s="5">
        <f t="shared" si="0"/>
        <v>2.035601021119847</v>
      </c>
    </row>
    <row r="50" spans="1:9" x14ac:dyDescent="0.35">
      <c r="A50" s="1">
        <v>40179</v>
      </c>
      <c r="B50">
        <v>1.9439753987755499</v>
      </c>
      <c r="C50">
        <v>3.6806343511497102</v>
      </c>
      <c r="D50">
        <v>-1.72943089953622</v>
      </c>
      <c r="E50">
        <v>-2.1941507001692999</v>
      </c>
      <c r="F50">
        <v>-1.96320901828766</v>
      </c>
      <c r="G50" s="3">
        <v>-1.768907228427707E-3</v>
      </c>
      <c r="H50" s="4">
        <v>0.42666666666666703</v>
      </c>
      <c r="I50" s="5">
        <f t="shared" si="0"/>
        <v>1.9422064915471222</v>
      </c>
    </row>
    <row r="51" spans="1:9" x14ac:dyDescent="0.35">
      <c r="A51" s="1">
        <v>40269</v>
      </c>
      <c r="B51">
        <v>2.5127345973598101</v>
      </c>
      <c r="C51">
        <v>3.92597785047899</v>
      </c>
      <c r="D51">
        <v>-1.40553339317751</v>
      </c>
      <c r="E51">
        <v>-0.495296576304327</v>
      </c>
      <c r="F51">
        <v>-1.8963009128519901</v>
      </c>
      <c r="G51" s="3">
        <v>1.0474917103770349</v>
      </c>
      <c r="H51" s="4">
        <v>0.51333333333333298</v>
      </c>
      <c r="I51" s="5">
        <f t="shared" si="0"/>
        <v>3.560226307736845</v>
      </c>
    </row>
    <row r="52" spans="1:9" x14ac:dyDescent="0.35">
      <c r="A52" s="1">
        <v>40360</v>
      </c>
      <c r="B52">
        <v>2.8711298021829501</v>
      </c>
      <c r="C52">
        <v>4.0315841422819796</v>
      </c>
      <c r="D52">
        <v>-1.1525370898587599</v>
      </c>
      <c r="E52">
        <v>0.57227189266541201</v>
      </c>
      <c r="F52">
        <v>-1.66303177123885</v>
      </c>
      <c r="G52" s="3">
        <v>1.434560449596112</v>
      </c>
      <c r="H52" s="4">
        <v>1.76</v>
      </c>
      <c r="I52" s="5">
        <f t="shared" si="0"/>
        <v>4.3056902517790618</v>
      </c>
    </row>
    <row r="53" spans="1:9" x14ac:dyDescent="0.35">
      <c r="A53" s="1">
        <v>40452</v>
      </c>
      <c r="B53">
        <v>2.9358306834058601</v>
      </c>
      <c r="C53">
        <v>4.0338081979176499</v>
      </c>
      <c r="D53">
        <v>-1.0900558966570999</v>
      </c>
      <c r="E53">
        <v>0.76058786810494905</v>
      </c>
      <c r="F53">
        <v>-0.99037070179970599</v>
      </c>
      <c r="G53" s="3">
        <v>1.364543487497349</v>
      </c>
      <c r="H53" s="4">
        <v>2.9066666666666698</v>
      </c>
      <c r="I53" s="5">
        <f t="shared" si="0"/>
        <v>4.3003741709032095</v>
      </c>
    </row>
    <row r="54" spans="1:9" x14ac:dyDescent="0.35">
      <c r="A54" s="1">
        <v>40544</v>
      </c>
      <c r="B54">
        <v>3.0688626678922599</v>
      </c>
      <c r="C54">
        <v>4.0562075108009301</v>
      </c>
      <c r="D54">
        <v>-0.97937923714276698</v>
      </c>
      <c r="E54">
        <v>0.87228743748710302</v>
      </c>
      <c r="F54">
        <v>-1.0136138205412799</v>
      </c>
      <c r="G54" s="3">
        <v>1.679075629792282</v>
      </c>
      <c r="H54" s="4">
        <v>3.4366666666666701</v>
      </c>
      <c r="I54" s="5">
        <f t="shared" si="0"/>
        <v>4.7479382976845415</v>
      </c>
    </row>
    <row r="55" spans="1:9" x14ac:dyDescent="0.35">
      <c r="A55" s="1">
        <v>40634</v>
      </c>
      <c r="B55">
        <v>3.6112173935379301</v>
      </c>
      <c r="C55">
        <v>4.0814326578961602</v>
      </c>
      <c r="D55">
        <v>-0.46220012129015198</v>
      </c>
      <c r="E55">
        <v>1.3707091826470299</v>
      </c>
      <c r="F55">
        <v>-0.90891645996265402</v>
      </c>
      <c r="G55" s="3">
        <v>3.659283365479848</v>
      </c>
      <c r="H55" s="4">
        <v>4.7366666666666699</v>
      </c>
      <c r="I55" s="5">
        <f t="shared" si="0"/>
        <v>7.2705007590177786</v>
      </c>
    </row>
    <row r="56" spans="1:9" x14ac:dyDescent="0.35">
      <c r="A56" s="1">
        <v>40725</v>
      </c>
      <c r="B56">
        <v>3.2293904428215301</v>
      </c>
      <c r="C56">
        <v>4.0964036630557903</v>
      </c>
      <c r="D56">
        <v>-0.85896867701229995</v>
      </c>
      <c r="E56">
        <v>0.80870284775051005</v>
      </c>
      <c r="F56">
        <v>-3.63246610166841E-2</v>
      </c>
      <c r="G56" s="3">
        <v>1.5115010566778331</v>
      </c>
      <c r="H56" s="4">
        <v>5.2466666666666697</v>
      </c>
      <c r="I56" s="5">
        <f t="shared" si="0"/>
        <v>4.7408914994993632</v>
      </c>
    </row>
    <row r="57" spans="1:9" x14ac:dyDescent="0.35">
      <c r="A57" s="1">
        <v>40817</v>
      </c>
      <c r="B57">
        <v>3.6232835958673002</v>
      </c>
      <c r="C57">
        <v>4.2800246964676401</v>
      </c>
      <c r="D57">
        <v>-0.64833596124057802</v>
      </c>
      <c r="E57">
        <v>1.3859647733552301</v>
      </c>
      <c r="F57">
        <v>-0.68841228616315997</v>
      </c>
      <c r="G57" s="3">
        <v>2.3839880425668092</v>
      </c>
      <c r="H57" s="4">
        <v>5.2433333333333296</v>
      </c>
      <c r="I57" s="5">
        <f t="shared" si="0"/>
        <v>6.0072716384341094</v>
      </c>
    </row>
    <row r="58" spans="1:9" x14ac:dyDescent="0.35">
      <c r="A58" s="1">
        <v>40909</v>
      </c>
      <c r="B58">
        <v>4.2611949114043002</v>
      </c>
      <c r="C58">
        <v>4.4018896921325901</v>
      </c>
      <c r="D58">
        <v>-0.13205032212522999</v>
      </c>
      <c r="E58">
        <v>2.1077860939060402</v>
      </c>
      <c r="F58">
        <v>-2.2094885287164798</v>
      </c>
      <c r="G58" s="3">
        <v>4.2784020045242288</v>
      </c>
      <c r="H58" s="4">
        <v>5.01</v>
      </c>
      <c r="I58" s="5">
        <f t="shared" si="0"/>
        <v>8.539596915928529</v>
      </c>
    </row>
    <row r="59" spans="1:9" x14ac:dyDescent="0.35">
      <c r="A59" s="1">
        <v>41000</v>
      </c>
      <c r="B59">
        <v>4.2356270990253</v>
      </c>
      <c r="C59">
        <v>4.5810159513189603</v>
      </c>
      <c r="D59">
        <v>-0.33639262441864998</v>
      </c>
      <c r="E59">
        <v>2.1736183995524199</v>
      </c>
      <c r="F59">
        <v>-1.9907327467928599</v>
      </c>
      <c r="G59" s="3">
        <v>2.89986482063469</v>
      </c>
      <c r="H59" s="4">
        <v>5.0133333333333301</v>
      </c>
      <c r="I59" s="5">
        <f t="shared" si="0"/>
        <v>7.13549191965999</v>
      </c>
    </row>
    <row r="60" spans="1:9" x14ac:dyDescent="0.35">
      <c r="A60" s="1">
        <v>41091</v>
      </c>
      <c r="B60">
        <v>3.7734534414970198</v>
      </c>
      <c r="C60">
        <v>4.6220736181487796</v>
      </c>
      <c r="D60">
        <v>-0.83954331947294603</v>
      </c>
      <c r="E60">
        <v>1.5015022957488799</v>
      </c>
      <c r="F60">
        <v>-1.4509220489285299</v>
      </c>
      <c r="G60" s="3">
        <v>1.120952895333627</v>
      </c>
      <c r="H60" s="4">
        <v>4.9933333333333296</v>
      </c>
      <c r="I60" s="5">
        <f t="shared" si="0"/>
        <v>4.894406336830647</v>
      </c>
    </row>
    <row r="61" spans="1:9" x14ac:dyDescent="0.35">
      <c r="A61" s="1">
        <v>41183</v>
      </c>
      <c r="B61">
        <v>3.8480269660630899</v>
      </c>
      <c r="C61">
        <v>4.5662265696858997</v>
      </c>
      <c r="D61">
        <v>-0.70923241922825897</v>
      </c>
      <c r="E61">
        <v>1.1680900704177499</v>
      </c>
      <c r="F61">
        <v>-1.5313273015798701</v>
      </c>
      <c r="G61" s="3">
        <v>2.460648288241241</v>
      </c>
      <c r="H61" s="4">
        <v>5.0066666666666704</v>
      </c>
      <c r="I61" s="5">
        <f t="shared" si="0"/>
        <v>6.3086752543043314</v>
      </c>
    </row>
    <row r="62" spans="1:9" x14ac:dyDescent="0.35">
      <c r="A62" s="1">
        <v>41275</v>
      </c>
      <c r="B62">
        <v>3.8608513534939002</v>
      </c>
      <c r="C62">
        <v>4.5512615011102397</v>
      </c>
      <c r="D62">
        <v>-0.68147235171737797</v>
      </c>
      <c r="E62">
        <v>0.91938172208347202</v>
      </c>
      <c r="F62">
        <v>-1.1730167960555999</v>
      </c>
      <c r="G62" s="3">
        <v>2.780529099370566</v>
      </c>
      <c r="H62" s="4">
        <v>5.0033333333333303</v>
      </c>
      <c r="I62" s="5">
        <f t="shared" si="0"/>
        <v>6.6413804528644658</v>
      </c>
    </row>
    <row r="63" spans="1:9" x14ac:dyDescent="0.35">
      <c r="A63" s="1">
        <v>41365</v>
      </c>
      <c r="B63">
        <v>3.7950861689270399</v>
      </c>
      <c r="C63">
        <v>4.5082989167280703</v>
      </c>
      <c r="D63">
        <v>-0.70435932209490304</v>
      </c>
      <c r="E63">
        <v>0.60582728619192505</v>
      </c>
      <c r="F63">
        <v>-1.0387103081699101</v>
      </c>
      <c r="G63" s="3">
        <v>2.6390329406927431</v>
      </c>
      <c r="H63" s="4">
        <v>5.0066666666666704</v>
      </c>
      <c r="I63" s="5">
        <f t="shared" si="0"/>
        <v>6.4341191096197825</v>
      </c>
    </row>
    <row r="64" spans="1:9" x14ac:dyDescent="0.35">
      <c r="A64" s="1">
        <v>41456</v>
      </c>
      <c r="B64">
        <v>3.47205899650129</v>
      </c>
      <c r="C64">
        <v>4.5017494333792998</v>
      </c>
      <c r="D64">
        <v>-1.0208498730883899</v>
      </c>
      <c r="E64">
        <v>0.16720043405757701</v>
      </c>
      <c r="F64">
        <v>-0.78892364599001696</v>
      </c>
      <c r="G64" s="3">
        <v>1.4272482696503721</v>
      </c>
      <c r="H64" s="4">
        <v>5.01</v>
      </c>
      <c r="I64" s="5">
        <f t="shared" si="0"/>
        <v>4.8993072661516619</v>
      </c>
    </row>
    <row r="65" spans="1:9" x14ac:dyDescent="0.35">
      <c r="A65" s="1">
        <v>41548</v>
      </c>
      <c r="B65">
        <v>3.8768745818267401</v>
      </c>
      <c r="C65">
        <v>4.3425142604218703</v>
      </c>
      <c r="D65">
        <v>-0.45711182183749699</v>
      </c>
      <c r="E65">
        <v>0.17676718080906501</v>
      </c>
      <c r="F65">
        <v>-1.90088815679142</v>
      </c>
      <c r="G65" s="3">
        <v>3.982577323478353</v>
      </c>
      <c r="H65" s="4">
        <v>4.68333333333333</v>
      </c>
      <c r="I65" s="5">
        <f t="shared" si="0"/>
        <v>7.8594519053050931</v>
      </c>
    </row>
    <row r="66" spans="1:9" x14ac:dyDescent="0.35">
      <c r="A66" s="1">
        <v>41640</v>
      </c>
      <c r="B66">
        <v>3.9883323046307799</v>
      </c>
      <c r="C66">
        <v>4.1802783305949296</v>
      </c>
      <c r="D66">
        <v>-0.18373676914369</v>
      </c>
      <c r="E66">
        <v>-8.5126596867212398E-2</v>
      </c>
      <c r="F66">
        <v>-2.81776694169637</v>
      </c>
      <c r="G66" s="3">
        <v>4.6022133477742422</v>
      </c>
      <c r="H66" s="4">
        <v>4.3333333333333304</v>
      </c>
      <c r="I66" s="5">
        <f t="shared" si="0"/>
        <v>8.590545652405023</v>
      </c>
    </row>
    <row r="67" spans="1:9" x14ac:dyDescent="0.35">
      <c r="A67" s="1">
        <v>41730</v>
      </c>
      <c r="B67">
        <v>4.8922247161317696</v>
      </c>
      <c r="C67">
        <v>4.0092567623294197</v>
      </c>
      <c r="D67">
        <v>0.89084135739374704</v>
      </c>
      <c r="E67">
        <v>0.45236832291538998</v>
      </c>
      <c r="F67">
        <v>-5.3534083607582597</v>
      </c>
      <c r="G67" s="3">
        <v>7.8326956376030044</v>
      </c>
      <c r="H67" s="4">
        <v>4</v>
      </c>
      <c r="I67" s="5">
        <f t="shared" ref="I67:I105" si="1">B67+G67</f>
        <v>12.724920353734774</v>
      </c>
    </row>
    <row r="68" spans="1:9" x14ac:dyDescent="0.35">
      <c r="A68" s="1">
        <v>41821</v>
      </c>
      <c r="B68">
        <v>3.59307998346147</v>
      </c>
      <c r="C68">
        <v>3.8921538099314699</v>
      </c>
      <c r="D68">
        <v>-0.29143039039143898</v>
      </c>
      <c r="E68">
        <v>-0.86694062697233698</v>
      </c>
      <c r="F68">
        <v>-4.7399028000477896</v>
      </c>
      <c r="G68" s="3">
        <v>2.6498049574896991</v>
      </c>
      <c r="H68" s="4">
        <v>3.62</v>
      </c>
      <c r="I68" s="5">
        <f t="shared" si="1"/>
        <v>6.2428849409511695</v>
      </c>
    </row>
    <row r="69" spans="1:9" x14ac:dyDescent="0.35">
      <c r="A69" s="1">
        <v>41913</v>
      </c>
      <c r="B69">
        <v>3.9644213433180702</v>
      </c>
      <c r="C69">
        <v>3.8492122227257699</v>
      </c>
      <c r="D69">
        <v>0.12276822771240301</v>
      </c>
      <c r="E69">
        <v>-0.30725293575346802</v>
      </c>
      <c r="F69">
        <v>-5.90599762871412</v>
      </c>
      <c r="G69" s="3">
        <v>4.8949245320505819</v>
      </c>
      <c r="H69" s="4">
        <v>3.0533333333333301</v>
      </c>
      <c r="I69" s="5">
        <f t="shared" si="1"/>
        <v>8.8593458753686516</v>
      </c>
    </row>
    <row r="70" spans="1:9" x14ac:dyDescent="0.35">
      <c r="A70" s="1">
        <v>42005</v>
      </c>
      <c r="B70">
        <v>3.8273264843661901</v>
      </c>
      <c r="C70">
        <v>3.7141218387742398</v>
      </c>
      <c r="D70">
        <v>0.120498461368249</v>
      </c>
      <c r="E70">
        <v>-0.31488936069831702</v>
      </c>
      <c r="F70">
        <v>-5.9415352795897798</v>
      </c>
      <c r="G70" s="3">
        <v>5.0794100537510767</v>
      </c>
      <c r="H70" s="4">
        <v>3</v>
      </c>
      <c r="I70" s="5">
        <f t="shared" si="1"/>
        <v>8.9067365381172667</v>
      </c>
    </row>
    <row r="71" spans="1:9" x14ac:dyDescent="0.35">
      <c r="A71" s="1">
        <v>42095</v>
      </c>
      <c r="B71">
        <v>4.3812581917245099</v>
      </c>
      <c r="C71">
        <v>3.5853367221197399</v>
      </c>
      <c r="D71">
        <v>0.80296237636073997</v>
      </c>
      <c r="E71">
        <v>0.26066893742472502</v>
      </c>
      <c r="F71">
        <v>-6.3960201845492097</v>
      </c>
      <c r="G71" s="3">
        <v>7.4349084280074704</v>
      </c>
      <c r="H71" s="4">
        <v>3</v>
      </c>
      <c r="I71" s="5">
        <f t="shared" si="1"/>
        <v>11.81616661973198</v>
      </c>
    </row>
    <row r="72" spans="1:9" x14ac:dyDescent="0.35">
      <c r="A72" s="1">
        <v>42186</v>
      </c>
      <c r="B72">
        <v>3.4351343742580598</v>
      </c>
      <c r="C72">
        <v>3.41678376491154</v>
      </c>
      <c r="D72">
        <v>2.5060510747318E-2</v>
      </c>
      <c r="E72">
        <v>-0.64223581005353503</v>
      </c>
      <c r="F72">
        <v>-5.8293906700504099</v>
      </c>
      <c r="G72" s="3">
        <v>4.1677821693602679</v>
      </c>
      <c r="H72" s="4">
        <v>3</v>
      </c>
      <c r="I72" s="5">
        <f t="shared" si="1"/>
        <v>7.6029165436183277</v>
      </c>
    </row>
    <row r="73" spans="1:9" x14ac:dyDescent="0.35">
      <c r="A73" s="1">
        <v>42278</v>
      </c>
      <c r="B73">
        <v>3.28671493281316</v>
      </c>
      <c r="C73">
        <v>3.3750934072303398</v>
      </c>
      <c r="D73">
        <v>-8.1750444802441397E-2</v>
      </c>
      <c r="E73">
        <v>-0.514588577849736</v>
      </c>
      <c r="F73">
        <v>-5.3013596110412404</v>
      </c>
      <c r="G73" s="3">
        <v>4.3498113951268236</v>
      </c>
      <c r="H73" s="4">
        <v>3.2433333333333301</v>
      </c>
      <c r="I73" s="5">
        <f t="shared" si="1"/>
        <v>7.6365263279399835</v>
      </c>
    </row>
    <row r="74" spans="1:9" x14ac:dyDescent="0.35">
      <c r="A74" s="1">
        <v>42370</v>
      </c>
      <c r="B74">
        <v>3.0369854313898199</v>
      </c>
      <c r="C74">
        <v>3.35004216343637</v>
      </c>
      <c r="D74">
        <v>-0.30647789822159499</v>
      </c>
      <c r="E74">
        <v>-0.35723313680978203</v>
      </c>
      <c r="F74">
        <v>-4.5303820213624997</v>
      </c>
      <c r="G74" s="3">
        <v>4.0210843673961882</v>
      </c>
      <c r="H74" s="4">
        <v>3.5</v>
      </c>
      <c r="I74" s="5">
        <f t="shared" si="1"/>
        <v>7.0580697987860077</v>
      </c>
    </row>
    <row r="75" spans="1:9" x14ac:dyDescent="0.35">
      <c r="A75" s="1">
        <v>42461</v>
      </c>
      <c r="B75">
        <v>2.9670606193620901</v>
      </c>
      <c r="C75">
        <v>3.0580249644922901</v>
      </c>
      <c r="D75">
        <v>-8.4958976513189594E-2</v>
      </c>
      <c r="E75">
        <v>-0.69598010954109701</v>
      </c>
      <c r="F75">
        <v>-3.9689208787332801</v>
      </c>
      <c r="G75" s="3">
        <v>5.4687631056014707</v>
      </c>
      <c r="H75" s="4">
        <v>3.5</v>
      </c>
      <c r="I75" s="5">
        <f t="shared" si="1"/>
        <v>8.4358237249635604</v>
      </c>
    </row>
    <row r="76" spans="1:9" x14ac:dyDescent="0.35">
      <c r="A76" s="1">
        <v>42552</v>
      </c>
      <c r="B76">
        <v>2.0817518355787898</v>
      </c>
      <c r="C76">
        <v>3.0805903655840101</v>
      </c>
      <c r="D76">
        <v>-0.99278884731192996</v>
      </c>
      <c r="E76">
        <v>-1.13860395637676</v>
      </c>
      <c r="F76">
        <v>-2.5882128790800998</v>
      </c>
      <c r="G76" s="3">
        <v>2.1861853058807501</v>
      </c>
      <c r="H76" s="4">
        <v>3.5</v>
      </c>
      <c r="I76" s="5">
        <f t="shared" si="1"/>
        <v>4.26793714145954</v>
      </c>
    </row>
    <row r="77" spans="1:9" x14ac:dyDescent="0.35">
      <c r="A77" s="1">
        <v>42644</v>
      </c>
      <c r="B77">
        <v>1.3315207066013</v>
      </c>
      <c r="C77">
        <v>2.9579782560428001</v>
      </c>
      <c r="D77">
        <v>-1.6206486531784201</v>
      </c>
      <c r="E77">
        <v>-1.64497567734134</v>
      </c>
      <c r="F77">
        <v>-1.0357925994653101</v>
      </c>
      <c r="G77" s="3">
        <v>1.1143881259109369</v>
      </c>
      <c r="H77" s="4">
        <v>3.4933333333333301</v>
      </c>
      <c r="I77" s="5">
        <f t="shared" si="1"/>
        <v>2.4459088325122371</v>
      </c>
    </row>
    <row r="78" spans="1:9" x14ac:dyDescent="0.35">
      <c r="A78" s="1">
        <v>42736</v>
      </c>
      <c r="B78">
        <v>1.37790807524567</v>
      </c>
      <c r="C78">
        <v>2.6306218357302402</v>
      </c>
      <c r="D78">
        <v>-1.2475477288141501</v>
      </c>
      <c r="E78">
        <v>-1.95228741135043</v>
      </c>
      <c r="F78">
        <v>-1.1409489473599801</v>
      </c>
      <c r="G78" s="3">
        <v>3.4028269510640858</v>
      </c>
      <c r="H78" s="4">
        <v>3.28</v>
      </c>
      <c r="I78" s="5">
        <f t="shared" si="1"/>
        <v>4.7807350263097561</v>
      </c>
    </row>
    <row r="79" spans="1:9" x14ac:dyDescent="0.35">
      <c r="A79" s="1">
        <v>42826</v>
      </c>
      <c r="B79">
        <v>1.6911859943754</v>
      </c>
      <c r="C79">
        <v>2.64975247552514</v>
      </c>
      <c r="D79">
        <v>-0.95336288060882601</v>
      </c>
      <c r="E79">
        <v>-1.28455105942203</v>
      </c>
      <c r="F79">
        <v>-1.6760262754930699</v>
      </c>
      <c r="G79" s="3">
        <v>3.9292940749482201</v>
      </c>
      <c r="H79" s="4">
        <v>2.6733333333333298</v>
      </c>
      <c r="I79" s="5">
        <f t="shared" si="1"/>
        <v>5.6204800693236203</v>
      </c>
    </row>
    <row r="80" spans="1:9" x14ac:dyDescent="0.35">
      <c r="A80" s="1">
        <v>42917</v>
      </c>
      <c r="B80">
        <v>1.04995883223</v>
      </c>
      <c r="C80">
        <v>2.8306745202438801</v>
      </c>
      <c r="D80">
        <v>-1.77515679162611</v>
      </c>
      <c r="E80">
        <v>-0.97718493691831998</v>
      </c>
      <c r="F80">
        <v>-0.81512380586878397</v>
      </c>
      <c r="G80" s="3">
        <v>0.61415074263191372</v>
      </c>
      <c r="H80" s="4">
        <v>2.5</v>
      </c>
      <c r="I80" s="5">
        <f t="shared" si="1"/>
        <v>1.6641095748619137</v>
      </c>
    </row>
    <row r="81" spans="1:9" x14ac:dyDescent="0.35">
      <c r="A81" s="1">
        <v>43009</v>
      </c>
      <c r="B81">
        <v>0.92127299055117895</v>
      </c>
      <c r="C81">
        <v>2.82212169935563</v>
      </c>
      <c r="D81">
        <v>-1.8953066085000101</v>
      </c>
      <c r="E81">
        <v>-0.72083056013798297</v>
      </c>
      <c r="F81">
        <v>-0.63018657447119297</v>
      </c>
      <c r="G81" s="3">
        <v>0.88938256703583463</v>
      </c>
      <c r="H81" s="4">
        <v>2.5</v>
      </c>
      <c r="I81" s="5">
        <f t="shared" si="1"/>
        <v>1.8106555575870136</v>
      </c>
    </row>
    <row r="82" spans="1:9" x14ac:dyDescent="0.35">
      <c r="A82" s="1">
        <v>43101</v>
      </c>
      <c r="B82">
        <v>1.13559389378258</v>
      </c>
      <c r="C82">
        <v>2.7923409771004302</v>
      </c>
      <c r="D82">
        <v>-1.65126346658267</v>
      </c>
      <c r="E82">
        <v>-0.38361850184287499</v>
      </c>
      <c r="F82">
        <v>-0.53057145251166704</v>
      </c>
      <c r="G82" s="3">
        <v>2.1337495169670539</v>
      </c>
      <c r="H82" s="4">
        <v>2.4966666666666701</v>
      </c>
      <c r="I82" s="5">
        <f t="shared" si="1"/>
        <v>3.269343410749634</v>
      </c>
    </row>
    <row r="83" spans="1:9" x14ac:dyDescent="0.35">
      <c r="A83" s="1">
        <v>43191</v>
      </c>
      <c r="B83">
        <v>1.8337946587035701</v>
      </c>
      <c r="C83">
        <v>2.8158374139778499</v>
      </c>
      <c r="D83">
        <v>-0.97651299608890396</v>
      </c>
      <c r="E83">
        <v>0.386328774133744</v>
      </c>
      <c r="F83">
        <v>-1.22688080220025</v>
      </c>
      <c r="G83" s="3">
        <v>3.9083950806852119</v>
      </c>
      <c r="H83" s="4">
        <v>2.4933333333333301</v>
      </c>
      <c r="I83" s="5">
        <f t="shared" si="1"/>
        <v>5.742189739388782</v>
      </c>
    </row>
    <row r="84" spans="1:9" x14ac:dyDescent="0.35">
      <c r="A84" s="1">
        <v>43282</v>
      </c>
      <c r="B84">
        <v>1.1118887249951701</v>
      </c>
      <c r="C84">
        <v>2.66945392551678</v>
      </c>
      <c r="D84">
        <v>-1.5523229101495599</v>
      </c>
      <c r="E84">
        <v>-0.48938655709298501</v>
      </c>
      <c r="F84">
        <v>-0.75546373630169406</v>
      </c>
      <c r="G84" s="3">
        <v>1.6294395472046921</v>
      </c>
      <c r="H84" s="4">
        <v>2.4966666666666701</v>
      </c>
      <c r="I84" s="5">
        <f t="shared" si="1"/>
        <v>2.741328272199862</v>
      </c>
    </row>
    <row r="85" spans="1:9" x14ac:dyDescent="0.35">
      <c r="A85" s="1">
        <v>43374</v>
      </c>
      <c r="B85">
        <v>1.12356373699885</v>
      </c>
      <c r="C85">
        <v>2.7961131938219799</v>
      </c>
      <c r="D85">
        <v>-1.6670584321850801</v>
      </c>
      <c r="E85">
        <v>-0.15929186238076901</v>
      </c>
      <c r="F85">
        <v>-0.66993794690906905</v>
      </c>
      <c r="G85" s="3">
        <v>1.3139126947839139</v>
      </c>
      <c r="H85" s="4">
        <v>2.7</v>
      </c>
      <c r="I85" s="5">
        <f t="shared" si="1"/>
        <v>2.437476431782764</v>
      </c>
    </row>
    <row r="86" spans="1:9" x14ac:dyDescent="0.35">
      <c r="A86" s="1">
        <v>43466</v>
      </c>
      <c r="B86">
        <v>1.2186578277834601</v>
      </c>
      <c r="C86">
        <v>2.5160551464584602</v>
      </c>
      <c r="D86">
        <v>-1.2924562737879799</v>
      </c>
      <c r="E86">
        <v>-0.56903194404253599</v>
      </c>
      <c r="F86">
        <v>-0.78980857571867802</v>
      </c>
      <c r="G86" s="3">
        <v>3.1128556690670721</v>
      </c>
      <c r="H86" s="4">
        <v>2.92</v>
      </c>
      <c r="I86" s="5">
        <f t="shared" si="1"/>
        <v>4.3315134968505324</v>
      </c>
    </row>
    <row r="87" spans="1:9" x14ac:dyDescent="0.35">
      <c r="A87" s="1">
        <v>43556</v>
      </c>
      <c r="B87">
        <v>1.62175766018182</v>
      </c>
      <c r="C87">
        <v>2.6015071534282699</v>
      </c>
      <c r="D87">
        <v>-0.97464063717184701</v>
      </c>
      <c r="E87">
        <v>-1.33903552657557E-2</v>
      </c>
      <c r="F87">
        <v>-1.1559305292994999</v>
      </c>
      <c r="G87" s="3">
        <v>3.5738168987483609</v>
      </c>
      <c r="H87" s="4">
        <v>2.87333333333333</v>
      </c>
      <c r="I87" s="5">
        <f t="shared" si="1"/>
        <v>5.1955745589301809</v>
      </c>
    </row>
    <row r="88" spans="1:9" x14ac:dyDescent="0.35">
      <c r="A88" s="1">
        <v>43647</v>
      </c>
      <c r="B88">
        <v>0.92672101186210598</v>
      </c>
      <c r="C88">
        <v>2.55608427500324</v>
      </c>
      <c r="D88">
        <v>-1.6243436088002501</v>
      </c>
      <c r="E88">
        <v>-0.53386990047738403</v>
      </c>
      <c r="F88">
        <v>-0.91451263872414301</v>
      </c>
      <c r="G88" s="3">
        <v>1.3372479115154821</v>
      </c>
      <c r="H88" s="4">
        <v>2.3466666666666698</v>
      </c>
      <c r="I88" s="5">
        <f t="shared" si="1"/>
        <v>2.2639689233775879</v>
      </c>
    </row>
    <row r="89" spans="1:9" x14ac:dyDescent="0.35">
      <c r="A89" s="1">
        <v>43739</v>
      </c>
      <c r="B89">
        <v>-7.5454296212033894E-2</v>
      </c>
      <c r="C89">
        <v>1.83868093709155</v>
      </c>
      <c r="D89">
        <v>-1.91052442014001</v>
      </c>
      <c r="E89">
        <v>-2.8568715534122502</v>
      </c>
      <c r="F89">
        <v>-0.60862807894654503</v>
      </c>
      <c r="G89" s="3">
        <v>1.85907568797008</v>
      </c>
      <c r="H89" s="4">
        <v>1.78666666666667</v>
      </c>
      <c r="I89" s="5">
        <f t="shared" si="1"/>
        <v>1.7836213917580461</v>
      </c>
    </row>
    <row r="90" spans="1:9" x14ac:dyDescent="0.35">
      <c r="A90" s="1">
        <v>43831</v>
      </c>
      <c r="B90">
        <v>0.69246984984123305</v>
      </c>
      <c r="C90">
        <v>1.9767759256064701</v>
      </c>
      <c r="D90">
        <v>-1.28042407079656</v>
      </c>
      <c r="E90">
        <v>-1.7132741240648099</v>
      </c>
      <c r="F90">
        <v>-1.6002464462830499</v>
      </c>
      <c r="G90" s="3">
        <v>3.4076325542000241</v>
      </c>
      <c r="H90" s="4">
        <v>1.63666666666667</v>
      </c>
      <c r="I90" s="5">
        <f t="shared" si="1"/>
        <v>4.100102404041257</v>
      </c>
    </row>
    <row r="91" spans="1:9" x14ac:dyDescent="0.35">
      <c r="A91" s="1">
        <v>43922</v>
      </c>
      <c r="B91">
        <v>-2.25918607837612</v>
      </c>
      <c r="C91">
        <v>-0.236109649032679</v>
      </c>
      <c r="D91">
        <v>-2.0235401029540099</v>
      </c>
      <c r="E91">
        <v>-8.5142006195412705</v>
      </c>
      <c r="F91">
        <v>0.15792218843473099</v>
      </c>
      <c r="G91" s="3">
        <v>3.74776607274665</v>
      </c>
      <c r="H91" s="4">
        <v>0.48666666666666702</v>
      </c>
      <c r="I91" s="5">
        <f t="shared" si="1"/>
        <v>1.48857999437053</v>
      </c>
    </row>
    <row r="92" spans="1:9" x14ac:dyDescent="0.35">
      <c r="A92" s="1">
        <v>44013</v>
      </c>
      <c r="B92">
        <v>-1.55594655849121</v>
      </c>
      <c r="C92">
        <v>0.45343187401958002</v>
      </c>
      <c r="D92">
        <v>-2.0084879801509099</v>
      </c>
      <c r="E92">
        <v>-5.82385759282056</v>
      </c>
      <c r="F92">
        <v>-0.72697812135575701</v>
      </c>
      <c r="G92" s="3">
        <v>1.6505577378044261</v>
      </c>
      <c r="H92" s="4">
        <v>0.38333333333333303</v>
      </c>
      <c r="I92" s="5">
        <f t="shared" si="1"/>
        <v>9.4611179313216054E-2</v>
      </c>
    </row>
    <row r="93" spans="1:9" x14ac:dyDescent="0.35">
      <c r="A93" s="1">
        <v>44105</v>
      </c>
      <c r="B93">
        <v>0.321137484652877</v>
      </c>
      <c r="C93">
        <v>1.1002084084275801</v>
      </c>
      <c r="D93">
        <v>-0.77691032759747403</v>
      </c>
      <c r="E93">
        <v>-1.0672467777960699</v>
      </c>
      <c r="F93">
        <v>-3.2284637049279299</v>
      </c>
      <c r="G93" s="3">
        <v>4.0233485163491123</v>
      </c>
      <c r="H93" s="4">
        <v>0.3</v>
      </c>
      <c r="I93" s="5">
        <f t="shared" si="1"/>
        <v>4.3444860010019895</v>
      </c>
    </row>
    <row r="94" spans="1:9" x14ac:dyDescent="0.35">
      <c r="A94" s="1">
        <v>44197</v>
      </c>
      <c r="B94">
        <v>0.80889942812516302</v>
      </c>
      <c r="C94">
        <v>1.43137636601117</v>
      </c>
      <c r="D94">
        <v>-0.61966599199531802</v>
      </c>
      <c r="E94">
        <v>1.11253027724683</v>
      </c>
      <c r="F94">
        <v>-3.7569879964106798</v>
      </c>
      <c r="G94" s="3">
        <v>3.5706819462418831</v>
      </c>
      <c r="H94" s="4">
        <v>0.3</v>
      </c>
      <c r="I94" s="5">
        <f t="shared" si="1"/>
        <v>4.3795813743670458</v>
      </c>
    </row>
    <row r="95" spans="1:9" x14ac:dyDescent="0.35">
      <c r="A95" s="1">
        <v>44287</v>
      </c>
      <c r="B95">
        <v>0.97464098903690799</v>
      </c>
      <c r="C95">
        <v>1.4887818223021101</v>
      </c>
      <c r="D95">
        <v>-0.51121715417918101</v>
      </c>
      <c r="E95">
        <v>1.65281982834608</v>
      </c>
      <c r="F95">
        <v>-3.9149697299486799</v>
      </c>
      <c r="G95" s="3">
        <v>3.7433934299183398</v>
      </c>
      <c r="H95" s="4">
        <v>0.30666666666666698</v>
      </c>
      <c r="I95" s="5">
        <f t="shared" si="1"/>
        <v>4.7180344189552477</v>
      </c>
    </row>
    <row r="96" spans="1:9" x14ac:dyDescent="0.35">
      <c r="A96" s="1">
        <v>44378</v>
      </c>
      <c r="B96">
        <v>2.0758914900707102</v>
      </c>
      <c r="C96">
        <v>2.0276455750980902</v>
      </c>
      <c r="D96">
        <v>5.2227818078223499E-2</v>
      </c>
      <c r="E96">
        <v>3.6697751891490502</v>
      </c>
      <c r="F96">
        <v>-5.0946331602899102</v>
      </c>
      <c r="G96" s="3">
        <v>4.4575427883674754</v>
      </c>
      <c r="H96" s="4">
        <v>0.93</v>
      </c>
      <c r="I96" s="5">
        <f t="shared" si="1"/>
        <v>6.533434278438186</v>
      </c>
    </row>
    <row r="97" spans="1:9" x14ac:dyDescent="0.35">
      <c r="A97" s="1">
        <v>44470</v>
      </c>
      <c r="B97">
        <v>3.23734496735486</v>
      </c>
      <c r="C97">
        <v>2.2784149945998098</v>
      </c>
      <c r="D97">
        <v>0.96340433842046103</v>
      </c>
      <c r="E97">
        <v>4.9510277264732796</v>
      </c>
      <c r="F97">
        <v>-5.0440906504108103</v>
      </c>
      <c r="G97" s="3">
        <v>6.6153645676961137</v>
      </c>
      <c r="H97" s="4">
        <v>2.79</v>
      </c>
      <c r="I97" s="5">
        <f t="shared" si="1"/>
        <v>9.8527095350509732</v>
      </c>
    </row>
    <row r="98" spans="1:9" x14ac:dyDescent="0.35">
      <c r="A98" s="1">
        <v>44562</v>
      </c>
      <c r="B98">
        <v>4.9432653880043702</v>
      </c>
      <c r="C98">
        <v>1.90393631926227</v>
      </c>
      <c r="D98">
        <v>3.0430680308347098</v>
      </c>
      <c r="E98">
        <v>4.7771481356451204</v>
      </c>
      <c r="F98">
        <v>-6.5746193675552602</v>
      </c>
      <c r="G98" s="3">
        <v>12.06911513222164</v>
      </c>
      <c r="H98" s="4">
        <v>5.09</v>
      </c>
      <c r="I98" s="5">
        <f t="shared" si="1"/>
        <v>17.01238052022601</v>
      </c>
    </row>
    <row r="99" spans="1:9" x14ac:dyDescent="0.35">
      <c r="A99" s="1">
        <v>44652</v>
      </c>
      <c r="B99">
        <v>6.04399359191126</v>
      </c>
      <c r="C99">
        <v>1.8249955953375401</v>
      </c>
      <c r="D99">
        <v>4.2225819343772697</v>
      </c>
      <c r="E99">
        <v>4.55016783786846</v>
      </c>
      <c r="F99">
        <v>-7.2224484277441103</v>
      </c>
      <c r="G99" s="3">
        <v>13.35846352171286</v>
      </c>
      <c r="H99" s="4">
        <v>7.9466666666666699</v>
      </c>
      <c r="I99" s="5">
        <f t="shared" si="1"/>
        <v>19.40245711362412</v>
      </c>
    </row>
    <row r="100" spans="1:9" x14ac:dyDescent="0.35">
      <c r="A100" s="1">
        <v>44743</v>
      </c>
      <c r="B100">
        <v>5.5259862682796301</v>
      </c>
      <c r="C100">
        <v>1.83157704300138</v>
      </c>
      <c r="D100">
        <v>3.69800608777002</v>
      </c>
      <c r="E100">
        <v>3.4921138648710399</v>
      </c>
      <c r="F100">
        <v>-6.1718225235203601</v>
      </c>
      <c r="G100" s="3">
        <v>10.607068465999101</v>
      </c>
      <c r="H100" s="4">
        <v>10.016666666666699</v>
      </c>
      <c r="I100" s="5">
        <f t="shared" si="1"/>
        <v>16.13305473427873</v>
      </c>
    </row>
    <row r="101" spans="1:9" x14ac:dyDescent="0.35">
      <c r="A101" s="1">
        <v>44835</v>
      </c>
      <c r="B101">
        <v>4.3145683951439198</v>
      </c>
      <c r="C101">
        <v>1.9494310884429</v>
      </c>
      <c r="D101">
        <v>2.3689656117068698</v>
      </c>
      <c r="E101">
        <v>2.3455278606049901</v>
      </c>
      <c r="F101">
        <v>-3.9496751920978399</v>
      </c>
      <c r="G101" s="3">
        <v>7.3991134012152626</v>
      </c>
      <c r="H101" s="4">
        <v>11.223333333333301</v>
      </c>
      <c r="I101" s="5">
        <f t="shared" si="1"/>
        <v>11.713681796359182</v>
      </c>
    </row>
    <row r="102" spans="1:9" x14ac:dyDescent="0.35">
      <c r="A102" s="1">
        <v>44927</v>
      </c>
      <c r="B102">
        <v>5.27649933562844</v>
      </c>
      <c r="C102">
        <v>1.9625154673354901</v>
      </c>
      <c r="D102">
        <v>3.3178378684841801</v>
      </c>
      <c r="E102">
        <v>2.7887466396596201</v>
      </c>
      <c r="F102">
        <v>-4.7336615738368701</v>
      </c>
      <c r="G102" s="3">
        <v>11.464003563906489</v>
      </c>
      <c r="H102" s="4">
        <v>11.25</v>
      </c>
      <c r="I102" s="5">
        <f t="shared" si="1"/>
        <v>16.740502899534931</v>
      </c>
    </row>
    <row r="103" spans="1:9" x14ac:dyDescent="0.35">
      <c r="A103" s="1">
        <v>45017</v>
      </c>
      <c r="B103">
        <v>4.4810798724707599</v>
      </c>
      <c r="C103">
        <v>1.8928925930407301</v>
      </c>
      <c r="D103">
        <v>2.5919045537837699</v>
      </c>
      <c r="E103">
        <v>1.69765318369105</v>
      </c>
      <c r="F103">
        <v>-3.01066389380015</v>
      </c>
      <c r="G103" s="3">
        <v>9.6481506541967086</v>
      </c>
      <c r="H103" s="4">
        <v>11.25</v>
      </c>
      <c r="I103" s="5">
        <f t="shared" si="1"/>
        <v>14.129230526667468</v>
      </c>
    </row>
    <row r="104" spans="1:9" x14ac:dyDescent="0.35">
      <c r="A104" s="1">
        <v>45108</v>
      </c>
      <c r="B104">
        <v>1.63178632537033</v>
      </c>
      <c r="C104">
        <v>2.1617654351516902</v>
      </c>
      <c r="D104">
        <v>-0.52573382125287704</v>
      </c>
      <c r="E104">
        <v>-9.5550809023279698E-2</v>
      </c>
      <c r="F104">
        <v>1.1684924549826901</v>
      </c>
      <c r="G104" s="3">
        <v>1.687617259269492</v>
      </c>
      <c r="H104" s="4">
        <v>10.35</v>
      </c>
      <c r="I104" s="5">
        <f t="shared" si="1"/>
        <v>3.3194035846398222</v>
      </c>
    </row>
    <row r="105" spans="1:9" x14ac:dyDescent="0.35">
      <c r="A105" s="1">
        <v>45200</v>
      </c>
      <c r="B105">
        <v>0.57482691617624004</v>
      </c>
      <c r="C105">
        <v>2.18608316553523</v>
      </c>
      <c r="D105">
        <v>-1.60696320551896</v>
      </c>
      <c r="E105">
        <v>-0.83841573043650897</v>
      </c>
      <c r="F105">
        <v>2.5046993459470199</v>
      </c>
      <c r="G105" s="3">
        <v>1.4421234741342599</v>
      </c>
      <c r="H105" s="4">
        <v>9.14</v>
      </c>
      <c r="I105" s="5">
        <f t="shared" si="1"/>
        <v>2.0169503903104999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output.ch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2025-04-10T22:45:11Z</dcterms:created>
  <dcterms:modified xsi:type="dcterms:W3CDTF">2025-04-10T23:41:28Z</dcterms:modified>
</cp:coreProperties>
</file>
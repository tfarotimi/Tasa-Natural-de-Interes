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1_{DB60105D-7046-4FB0-A3FD-59EB112A77F2}" xr6:coauthVersionLast="47" xr6:coauthVersionMax="47" xr10:uidLastSave="{00000000-0000-0000-0000-000000000000}"/>
  <bookViews>
    <workbookView xWindow="-110" yWindow="-110" windowWidth="19420" windowHeight="10420" xr2:uid="{6662F22D-5D6D-4B0A-ACA6-807C63C999EE}"/>
  </bookViews>
  <sheets>
    <sheet name="output.mx" sheetId="1" r:id="rId1"/>
    <sheet name="ch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5" i="1"/>
  <c r="I66" i="1"/>
  <c r="I65" i="1"/>
  <c r="I64" i="1"/>
  <c r="I63" i="1"/>
  <c r="I62" i="1"/>
  <c r="I61" i="1"/>
  <c r="M60" i="1"/>
  <c r="I60" i="1"/>
  <c r="M59" i="1"/>
  <c r="I59" i="1"/>
  <c r="M58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M18" i="2"/>
  <c r="D18" i="2"/>
  <c r="D35" i="2"/>
  <c r="M35" i="2"/>
</calcChain>
</file>

<file path=xl/sharedStrings.xml><?xml version="1.0" encoding="utf-8"?>
<sst xmlns="http://schemas.openxmlformats.org/spreadsheetml/2006/main" count="42" uniqueCount="36">
  <si>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</si>
  <si>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</si>
  <si>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</si>
  <si>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</si>
  <si>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</si>
  <si>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</si>
  <si>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</si>
  <si>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</si>
  <si>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</si>
  <si>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</si>
  <si>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</si>
  <si>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</si>
  <si>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</si>
  <si>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</si>
  <si>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</si>
  <si>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</si>
  <si>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</si>
  <si>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</si>
  <si>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</si>
  <si>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</si>
  <si>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</si>
  <si>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</si>
  <si>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</si>
  <si>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</si>
  <si>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</si>
  <si>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</si>
  <si>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</si>
  <si>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</si>
  <si>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</si>
  <si>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</si>
  <si>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</si>
  <si>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Correlation</t>
  </si>
  <si>
    <t>r* + inflation</t>
  </si>
  <si>
    <t>r*, inflation</t>
  </si>
  <si>
    <t>r*, interest</t>
  </si>
  <si>
    <t>r* + inflation,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</si>
</sst>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output.mx!$B$1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output.mx!$B$2:$B$71</c:f>
              <c:numCache>
                <c:formatCode>General</c:formatCode>
                <c:ptCount val="70"/>
                <c:pt idx="0">
                  <c:v>2.0827231418375098</c:v>
                </c:pt>
                <c:pt idx="1">
                  <c:v>2.4142349975430699</c:v>
                </c:pt>
                <c:pt idx="2">
                  <c:v>2.6466774001403102</c:v>
                </c:pt>
                <c:pt idx="3">
                  <c:v>2.7750107059276901</c:v>
                </c:pt>
                <c:pt idx="4">
                  <c:v>2.6832123440604101</c:v>
                </c:pt>
                <c:pt idx="5">
                  <c:v>2.79435210567837</c:v>
                </c:pt>
                <c:pt idx="6">
                  <c:v>2.7934507186456901</c:v>
                </c:pt>
                <c:pt idx="7">
                  <c:v>2.2030448984778901</c:v>
                </c:pt>
                <c:pt idx="8">
                  <c:v>0.54938873001347699</c:v>
                </c:pt>
                <c:pt idx="9">
                  <c:v>-0.45366806100840101</c:v>
                </c:pt>
                <c:pt idx="10">
                  <c:v>-0.26596498978330801</c:v>
                </c:pt>
                <c:pt idx="11">
                  <c:v>-0.21040549933399999</c:v>
                </c:pt>
                <c:pt idx="12">
                  <c:v>-1.8461456801475599E-2</c:v>
                </c:pt>
                <c:pt idx="13">
                  <c:v>-0.15480865528917701</c:v>
                </c:pt>
                <c:pt idx="14">
                  <c:v>-0.18914665424584901</c:v>
                </c:pt>
                <c:pt idx="15">
                  <c:v>-9.3627534116047503E-2</c:v>
                </c:pt>
                <c:pt idx="16">
                  <c:v>0.25358831277298299</c:v>
                </c:pt>
                <c:pt idx="17">
                  <c:v>0.114945670797275</c:v>
                </c:pt>
                <c:pt idx="18">
                  <c:v>0.40319881285903297</c:v>
                </c:pt>
                <c:pt idx="19">
                  <c:v>0.697610550381631</c:v>
                </c:pt>
                <c:pt idx="20">
                  <c:v>1.2153580023437101</c:v>
                </c:pt>
                <c:pt idx="21">
                  <c:v>1.1101659474377801</c:v>
                </c:pt>
                <c:pt idx="22">
                  <c:v>1.1378977981329399</c:v>
                </c:pt>
                <c:pt idx="23">
                  <c:v>0.86011754967527998</c:v>
                </c:pt>
                <c:pt idx="24">
                  <c:v>1.16230807014044</c:v>
                </c:pt>
                <c:pt idx="25">
                  <c:v>0.76785824819167703</c:v>
                </c:pt>
                <c:pt idx="26">
                  <c:v>0.38844957951276199</c:v>
                </c:pt>
                <c:pt idx="27">
                  <c:v>0.58618955280841301</c:v>
                </c:pt>
                <c:pt idx="28">
                  <c:v>1.7118981933501101</c:v>
                </c:pt>
                <c:pt idx="29">
                  <c:v>1.3663510876346101</c:v>
                </c:pt>
                <c:pt idx="30">
                  <c:v>1.12017084705366</c:v>
                </c:pt>
                <c:pt idx="31">
                  <c:v>0.97394540389664497</c:v>
                </c:pt>
                <c:pt idx="32">
                  <c:v>0.50784282243413703</c:v>
                </c:pt>
                <c:pt idx="33">
                  <c:v>0.69000954041444695</c:v>
                </c:pt>
                <c:pt idx="34">
                  <c:v>0.88327567510523397</c:v>
                </c:pt>
                <c:pt idx="35">
                  <c:v>0.98982752213694702</c:v>
                </c:pt>
                <c:pt idx="36">
                  <c:v>1.2649038733732201</c:v>
                </c:pt>
                <c:pt idx="37">
                  <c:v>1.4563870034927799</c:v>
                </c:pt>
                <c:pt idx="38">
                  <c:v>1.4060579151889201</c:v>
                </c:pt>
                <c:pt idx="39">
                  <c:v>2.0551667023054798</c:v>
                </c:pt>
                <c:pt idx="40">
                  <c:v>3.8919692321750201</c:v>
                </c:pt>
                <c:pt idx="41">
                  <c:v>4.1690927626372103</c:v>
                </c:pt>
                <c:pt idx="42">
                  <c:v>3.0395447104903401</c:v>
                </c:pt>
                <c:pt idx="43">
                  <c:v>2.7474387158340501</c:v>
                </c:pt>
                <c:pt idx="44">
                  <c:v>2.9640698883060801</c:v>
                </c:pt>
                <c:pt idx="45">
                  <c:v>2.1935298576359199</c:v>
                </c:pt>
                <c:pt idx="46">
                  <c:v>2.0608230174259701</c:v>
                </c:pt>
                <c:pt idx="47">
                  <c:v>2.2014206537949002</c:v>
                </c:pt>
                <c:pt idx="48">
                  <c:v>2.3792800636885998</c:v>
                </c:pt>
                <c:pt idx="49">
                  <c:v>2.56903647990399</c:v>
                </c:pt>
                <c:pt idx="50">
                  <c:v>1.90845932042141</c:v>
                </c:pt>
                <c:pt idx="51">
                  <c:v>1.57693622156285</c:v>
                </c:pt>
                <c:pt idx="52">
                  <c:v>1.7225988091719999</c:v>
                </c:pt>
                <c:pt idx="53">
                  <c:v>-1.6836968581589999</c:v>
                </c:pt>
                <c:pt idx="54">
                  <c:v>0.12625112712533201</c:v>
                </c:pt>
                <c:pt idx="55">
                  <c:v>-1.6223233923095499E-2</c:v>
                </c:pt>
                <c:pt idx="56">
                  <c:v>0.82278557507608596</c:v>
                </c:pt>
                <c:pt idx="57">
                  <c:v>1.9390603107376301</c:v>
                </c:pt>
                <c:pt idx="58">
                  <c:v>2.48753862002417</c:v>
                </c:pt>
                <c:pt idx="59">
                  <c:v>3.0414976725440699</c:v>
                </c:pt>
                <c:pt idx="60">
                  <c:v>5.1037519362241497</c:v>
                </c:pt>
                <c:pt idx="61">
                  <c:v>6.5417138886200101</c:v>
                </c:pt>
                <c:pt idx="62">
                  <c:v>7.1580154316625499</c:v>
                </c:pt>
                <c:pt idx="63">
                  <c:v>6.7582629987178997</c:v>
                </c:pt>
                <c:pt idx="64">
                  <c:v>6.5806055433038599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2-427A-9417-FE5DE71AE422}"/>
            </c:ext>
          </c:extLst>
        </c:ser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1.44892768636009</c:v>
                </c:pt>
                <c:pt idx="1">
                  <c:v>1.4169217276094099</c:v>
                </c:pt>
                <c:pt idx="2">
                  <c:v>1.2646343249646199</c:v>
                </c:pt>
                <c:pt idx="3">
                  <c:v>0.92854522126776795</c:v>
                </c:pt>
                <c:pt idx="4">
                  <c:v>0.244359345048451</c:v>
                </c:pt>
                <c:pt idx="5">
                  <c:v>0.331469680696728</c:v>
                </c:pt>
                <c:pt idx="6">
                  <c:v>9.0199350015382193E-2</c:v>
                </c:pt>
                <c:pt idx="7">
                  <c:v>-1.52958144027843</c:v>
                </c:pt>
                <c:pt idx="8">
                  <c:v>-5.4066795518356203</c:v>
                </c:pt>
                <c:pt idx="9">
                  <c:v>-6.2851164929479602</c:v>
                </c:pt>
                <c:pt idx="10">
                  <c:v>-3.8392920593867101</c:v>
                </c:pt>
                <c:pt idx="11">
                  <c:v>-2.6575928550150798</c:v>
                </c:pt>
                <c:pt idx="12">
                  <c:v>-1.55357363222606</c:v>
                </c:pt>
                <c:pt idx="13">
                  <c:v>-1.25437686132682</c:v>
                </c:pt>
                <c:pt idx="14">
                  <c:v>-0.97362504454963505</c:v>
                </c:pt>
                <c:pt idx="15">
                  <c:v>-0.69005797903855604</c:v>
                </c:pt>
                <c:pt idx="16">
                  <c:v>-0.111532200121474</c:v>
                </c:pt>
                <c:pt idx="17">
                  <c:v>-0.40245726147168198</c:v>
                </c:pt>
                <c:pt idx="18">
                  <c:v>0.452539030732169</c:v>
                </c:pt>
                <c:pt idx="19">
                  <c:v>0.58517904728796599</c:v>
                </c:pt>
                <c:pt idx="20">
                  <c:v>1.1110007158044899</c:v>
                </c:pt>
                <c:pt idx="21">
                  <c:v>0.93656376818535103</c:v>
                </c:pt>
                <c:pt idx="22">
                  <c:v>0.78770461644921896</c:v>
                </c:pt>
                <c:pt idx="23">
                  <c:v>0.48298464076424402</c:v>
                </c:pt>
                <c:pt idx="24">
                  <c:v>0.57977853290435599</c:v>
                </c:pt>
                <c:pt idx="25">
                  <c:v>-0.47657901710636003</c:v>
                </c:pt>
                <c:pt idx="26">
                  <c:v>-0.70450352766647495</c:v>
                </c:pt>
                <c:pt idx="27">
                  <c:v>-0.49187620031693802</c:v>
                </c:pt>
                <c:pt idx="28">
                  <c:v>0.84371326321138396</c:v>
                </c:pt>
                <c:pt idx="29">
                  <c:v>0.81240480038945895</c:v>
                </c:pt>
                <c:pt idx="30">
                  <c:v>0.37540102295156402</c:v>
                </c:pt>
                <c:pt idx="31">
                  <c:v>0.602864869729274</c:v>
                </c:pt>
                <c:pt idx="32">
                  <c:v>0.15303758508753201</c:v>
                </c:pt>
                <c:pt idx="33">
                  <c:v>0.66710554705514402</c:v>
                </c:pt>
                <c:pt idx="34">
                  <c:v>0.98452679554907296</c:v>
                </c:pt>
                <c:pt idx="35">
                  <c:v>0.52818633768924905</c:v>
                </c:pt>
                <c:pt idx="36">
                  <c:v>0.80834802410140605</c:v>
                </c:pt>
                <c:pt idx="37">
                  <c:v>0.87936498745216296</c:v>
                </c:pt>
                <c:pt idx="38">
                  <c:v>0.92235269279694898</c:v>
                </c:pt>
                <c:pt idx="39">
                  <c:v>1.74996321646063</c:v>
                </c:pt>
                <c:pt idx="40">
                  <c:v>3.3696143820204698</c:v>
                </c:pt>
                <c:pt idx="41">
                  <c:v>3.26401584256018</c:v>
                </c:pt>
                <c:pt idx="42">
                  <c:v>1.3993089974658199</c:v>
                </c:pt>
                <c:pt idx="43">
                  <c:v>1.4553000281064199</c:v>
                </c:pt>
                <c:pt idx="44">
                  <c:v>1.7030100483423201</c:v>
                </c:pt>
                <c:pt idx="45">
                  <c:v>0.263346454767316</c:v>
                </c:pt>
                <c:pt idx="46">
                  <c:v>-0.29438373389189099</c:v>
                </c:pt>
                <c:pt idx="47">
                  <c:v>-0.73829828623024696</c:v>
                </c:pt>
                <c:pt idx="48">
                  <c:v>-1.00242150264398</c:v>
                </c:pt>
                <c:pt idx="49">
                  <c:v>-1.44017153870618</c:v>
                </c:pt>
                <c:pt idx="50">
                  <c:v>-2.3095553683447201</c:v>
                </c:pt>
                <c:pt idx="51">
                  <c:v>-3.1210212292592101</c:v>
                </c:pt>
                <c:pt idx="52">
                  <c:v>-3.5148239145994502</c:v>
                </c:pt>
                <c:pt idx="53">
                  <c:v>-16.081187985524402</c:v>
                </c:pt>
                <c:pt idx="54">
                  <c:v>-5.1544741990412604</c:v>
                </c:pt>
                <c:pt idx="55">
                  <c:v>-3.1947583407832099</c:v>
                </c:pt>
                <c:pt idx="56">
                  <c:v>-1.9747261671482199</c:v>
                </c:pt>
                <c:pt idx="57">
                  <c:v>-0.11165311232161899</c:v>
                </c:pt>
                <c:pt idx="58">
                  <c:v>0.192382011490281</c:v>
                </c:pt>
                <c:pt idx="59">
                  <c:v>1.7819556257129501</c:v>
                </c:pt>
                <c:pt idx="60">
                  <c:v>4.5349386529626399</c:v>
                </c:pt>
                <c:pt idx="61">
                  <c:v>6.5716497422531601</c:v>
                </c:pt>
                <c:pt idx="62">
                  <c:v>7.5335769719497403</c:v>
                </c:pt>
                <c:pt idx="63">
                  <c:v>7.1582344687465103</c:v>
                </c:pt>
                <c:pt idx="64">
                  <c:v>7.0622745208570397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2-427A-9417-FE5DE71A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1.04188792168816</c:v>
                      </c:pt>
                      <c:pt idx="1">
                        <c:v>1.0620809712717501</c:v>
                      </c:pt>
                      <c:pt idx="2">
                        <c:v>0.78647655086413304</c:v>
                      </c:pt>
                      <c:pt idx="3">
                        <c:v>0.76582790882503804</c:v>
                      </c:pt>
                      <c:pt idx="4">
                        <c:v>0.88182348648125197</c:v>
                      </c:pt>
                      <c:pt idx="5">
                        <c:v>0.1772974424945</c:v>
                      </c:pt>
                      <c:pt idx="6">
                        <c:v>0.26330318237865002</c:v>
                      </c:pt>
                      <c:pt idx="7">
                        <c:v>0.45093733278616999</c:v>
                      </c:pt>
                      <c:pt idx="8">
                        <c:v>1.4958598168567201</c:v>
                      </c:pt>
                      <c:pt idx="9">
                        <c:v>0.75229205925029696</c:v>
                      </c:pt>
                      <c:pt idx="10">
                        <c:v>2.3532102187820099E-2</c:v>
                      </c:pt>
                      <c:pt idx="11">
                        <c:v>0.42199417305098702</c:v>
                      </c:pt>
                      <c:pt idx="12">
                        <c:v>0.218188015771624</c:v>
                      </c:pt>
                      <c:pt idx="13">
                        <c:v>0.83311709322715199</c:v>
                      </c:pt>
                      <c:pt idx="14">
                        <c:v>1.0760370053045301</c:v>
                      </c:pt>
                      <c:pt idx="15">
                        <c:v>1.07735938853795</c:v>
                      </c:pt>
                      <c:pt idx="16">
                        <c:v>1.00854443181367</c:v>
                      </c:pt>
                      <c:pt idx="17">
                        <c:v>1.1990721940608899</c:v>
                      </c:pt>
                      <c:pt idx="18">
                        <c:v>0.84061086858238798</c:v>
                      </c:pt>
                      <c:pt idx="19">
                        <c:v>0.44632148807243899</c:v>
                      </c:pt>
                      <c:pt idx="20">
                        <c:v>-7.7716499418688703E-2</c:v>
                      </c:pt>
                      <c:pt idx="21">
                        <c:v>-8.5367355195002895E-2</c:v>
                      </c:pt>
                      <c:pt idx="22">
                        <c:v>-0.29736577315607698</c:v>
                      </c:pt>
                      <c:pt idx="23">
                        <c:v>0.37017266653257902</c:v>
                      </c:pt>
                      <c:pt idx="24">
                        <c:v>0.26027029503146798</c:v>
                      </c:pt>
                      <c:pt idx="25">
                        <c:v>0.38049108574956098</c:v>
                      </c:pt>
                      <c:pt idx="26">
                        <c:v>1.09809367341352</c:v>
                      </c:pt>
                      <c:pt idx="27">
                        <c:v>0.44729978285309102</c:v>
                      </c:pt>
                      <c:pt idx="28">
                        <c:v>-1.23853589345378</c:v>
                      </c:pt>
                      <c:pt idx="29">
                        <c:v>-1.02749430143631</c:v>
                      </c:pt>
                      <c:pt idx="30">
                        <c:v>-1.4057871733056799</c:v>
                      </c:pt>
                      <c:pt idx="31">
                        <c:v>-1.2123767138460799</c:v>
                      </c:pt>
                      <c:pt idx="32">
                        <c:v>0.16664769855764999</c:v>
                      </c:pt>
                      <c:pt idx="33">
                        <c:v>3.9200663700765803E-2</c:v>
                      </c:pt>
                      <c:pt idx="34">
                        <c:v>-0.134314771268673</c:v>
                      </c:pt>
                      <c:pt idx="35">
                        <c:v>-0.28581917153547098</c:v>
                      </c:pt>
                      <c:pt idx="36">
                        <c:v>-0.44440043211881602</c:v>
                      </c:pt>
                      <c:pt idx="37">
                        <c:v>-0.56787634515673702</c:v>
                      </c:pt>
                      <c:pt idx="38">
                        <c:v>-0.11293731047407</c:v>
                      </c:pt>
                      <c:pt idx="39">
                        <c:v>-0.21707614390097299</c:v>
                      </c:pt>
                      <c:pt idx="40">
                        <c:v>-2.0177093560594299</c:v>
                      </c:pt>
                      <c:pt idx="41">
                        <c:v>-2.2665460401694699</c:v>
                      </c:pt>
                      <c:pt idx="42">
                        <c:v>-0.90718014936167901</c:v>
                      </c:pt>
                      <c:pt idx="43">
                        <c:v>-0.49295869110395402</c:v>
                      </c:pt>
                      <c:pt idx="44">
                        <c:v>0.21250262137730999</c:v>
                      </c:pt>
                      <c:pt idx="45">
                        <c:v>1.72889637877</c:v>
                      </c:pt>
                      <c:pt idx="46">
                        <c:v>2.1020952906094501</c:v>
                      </c:pt>
                      <c:pt idx="47">
                        <c:v>2.0867910186162502</c:v>
                      </c:pt>
                      <c:pt idx="48">
                        <c:v>2.3101836508745102</c:v>
                      </c:pt>
                      <c:pt idx="49">
                        <c:v>1.8751588930015299</c:v>
                      </c:pt>
                      <c:pt idx="50">
                        <c:v>2.48743345206202</c:v>
                      </c:pt>
                      <c:pt idx="51">
                        <c:v>2.4498447055246899</c:v>
                      </c:pt>
                      <c:pt idx="52">
                        <c:v>1.71011110134706</c:v>
                      </c:pt>
                      <c:pt idx="53">
                        <c:v>3.9473891849262199</c:v>
                      </c:pt>
                      <c:pt idx="54">
                        <c:v>0.66335841907694304</c:v>
                      </c:pt>
                      <c:pt idx="55">
                        <c:v>0.45287990453165899</c:v>
                      </c:pt>
                      <c:pt idx="56">
                        <c:v>-0.64452528548096799</c:v>
                      </c:pt>
                      <c:pt idx="57">
                        <c:v>-2.2992388050104</c:v>
                      </c:pt>
                      <c:pt idx="58">
                        <c:v>-2.88356678229857</c:v>
                      </c:pt>
                      <c:pt idx="59">
                        <c:v>-3.6890106774365901</c:v>
                      </c:pt>
                      <c:pt idx="60">
                        <c:v>-5.8543780618916204</c:v>
                      </c:pt>
                      <c:pt idx="61">
                        <c:v>-7.0896605675145903</c:v>
                      </c:pt>
                      <c:pt idx="62">
                        <c:v>-7.0042653413549303</c:v>
                      </c:pt>
                      <c:pt idx="63">
                        <c:v>-5.4419057480386996</c:v>
                      </c:pt>
                      <c:pt idx="64">
                        <c:v>-4.06936567798508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B2-427A-9417-FE5DE71AE4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B2-427A-9417-FE5DE71AE4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B2-427A-9417-FE5DE71AE422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1.44892768636009</c:v>
                </c:pt>
                <c:pt idx="1">
                  <c:v>1.4169217276094099</c:v>
                </c:pt>
                <c:pt idx="2">
                  <c:v>1.2646343249646199</c:v>
                </c:pt>
                <c:pt idx="3">
                  <c:v>0.92854522126776795</c:v>
                </c:pt>
                <c:pt idx="4">
                  <c:v>0.244359345048451</c:v>
                </c:pt>
                <c:pt idx="5">
                  <c:v>0.331469680696728</c:v>
                </c:pt>
                <c:pt idx="6">
                  <c:v>9.0199350015382193E-2</c:v>
                </c:pt>
                <c:pt idx="7">
                  <c:v>-1.52958144027843</c:v>
                </c:pt>
                <c:pt idx="8">
                  <c:v>-5.4066795518356203</c:v>
                </c:pt>
                <c:pt idx="9">
                  <c:v>-6.2851164929479602</c:v>
                </c:pt>
                <c:pt idx="10">
                  <c:v>-3.8392920593867101</c:v>
                </c:pt>
                <c:pt idx="11">
                  <c:v>-2.6575928550150798</c:v>
                </c:pt>
                <c:pt idx="12">
                  <c:v>-1.55357363222606</c:v>
                </c:pt>
                <c:pt idx="13">
                  <c:v>-1.25437686132682</c:v>
                </c:pt>
                <c:pt idx="14">
                  <c:v>-0.97362504454963505</c:v>
                </c:pt>
                <c:pt idx="15">
                  <c:v>-0.69005797903855604</c:v>
                </c:pt>
                <c:pt idx="16">
                  <c:v>-0.111532200121474</c:v>
                </c:pt>
                <c:pt idx="17">
                  <c:v>-0.40245726147168198</c:v>
                </c:pt>
                <c:pt idx="18">
                  <c:v>0.452539030732169</c:v>
                </c:pt>
                <c:pt idx="19">
                  <c:v>0.58517904728796599</c:v>
                </c:pt>
                <c:pt idx="20">
                  <c:v>1.1110007158044899</c:v>
                </c:pt>
                <c:pt idx="21">
                  <c:v>0.93656376818535103</c:v>
                </c:pt>
                <c:pt idx="22">
                  <c:v>0.78770461644921896</c:v>
                </c:pt>
                <c:pt idx="23">
                  <c:v>0.48298464076424402</c:v>
                </c:pt>
                <c:pt idx="24">
                  <c:v>0.57977853290435599</c:v>
                </c:pt>
                <c:pt idx="25">
                  <c:v>-0.47657901710636003</c:v>
                </c:pt>
                <c:pt idx="26">
                  <c:v>-0.70450352766647495</c:v>
                </c:pt>
                <c:pt idx="27">
                  <c:v>-0.49187620031693802</c:v>
                </c:pt>
                <c:pt idx="28">
                  <c:v>0.84371326321138396</c:v>
                </c:pt>
                <c:pt idx="29">
                  <c:v>0.81240480038945895</c:v>
                </c:pt>
                <c:pt idx="30">
                  <c:v>0.37540102295156402</c:v>
                </c:pt>
                <c:pt idx="31">
                  <c:v>0.602864869729274</c:v>
                </c:pt>
                <c:pt idx="32">
                  <c:v>0.15303758508753201</c:v>
                </c:pt>
                <c:pt idx="33">
                  <c:v>0.66710554705514402</c:v>
                </c:pt>
                <c:pt idx="34">
                  <c:v>0.98452679554907296</c:v>
                </c:pt>
                <c:pt idx="35">
                  <c:v>0.52818633768924905</c:v>
                </c:pt>
                <c:pt idx="36">
                  <c:v>0.80834802410140605</c:v>
                </c:pt>
                <c:pt idx="37">
                  <c:v>0.87936498745216296</c:v>
                </c:pt>
                <c:pt idx="38">
                  <c:v>0.92235269279694898</c:v>
                </c:pt>
                <c:pt idx="39">
                  <c:v>1.74996321646063</c:v>
                </c:pt>
                <c:pt idx="40">
                  <c:v>3.3696143820204698</c:v>
                </c:pt>
                <c:pt idx="41">
                  <c:v>3.26401584256018</c:v>
                </c:pt>
                <c:pt idx="42">
                  <c:v>1.3993089974658199</c:v>
                </c:pt>
                <c:pt idx="43">
                  <c:v>1.4553000281064199</c:v>
                </c:pt>
                <c:pt idx="44">
                  <c:v>1.7030100483423201</c:v>
                </c:pt>
                <c:pt idx="45">
                  <c:v>0.263346454767316</c:v>
                </c:pt>
                <c:pt idx="46">
                  <c:v>-0.29438373389189099</c:v>
                </c:pt>
                <c:pt idx="47">
                  <c:v>-0.73829828623024696</c:v>
                </c:pt>
                <c:pt idx="48">
                  <c:v>-1.00242150264398</c:v>
                </c:pt>
                <c:pt idx="49">
                  <c:v>-1.44017153870618</c:v>
                </c:pt>
                <c:pt idx="50">
                  <c:v>-2.3095553683447201</c:v>
                </c:pt>
                <c:pt idx="51">
                  <c:v>-3.1210212292592101</c:v>
                </c:pt>
                <c:pt idx="52">
                  <c:v>-3.5148239145994502</c:v>
                </c:pt>
                <c:pt idx="53">
                  <c:v>-16.081187985524402</c:v>
                </c:pt>
                <c:pt idx="54">
                  <c:v>-5.1544741990412604</c:v>
                </c:pt>
                <c:pt idx="55">
                  <c:v>-3.1947583407832099</c:v>
                </c:pt>
                <c:pt idx="56">
                  <c:v>-1.9747261671482199</c:v>
                </c:pt>
                <c:pt idx="57">
                  <c:v>-0.11165311232161899</c:v>
                </c:pt>
                <c:pt idx="58">
                  <c:v>0.192382011490281</c:v>
                </c:pt>
                <c:pt idx="59">
                  <c:v>1.7819556257129501</c:v>
                </c:pt>
                <c:pt idx="60">
                  <c:v>4.5349386529626399</c:v>
                </c:pt>
                <c:pt idx="61">
                  <c:v>6.5716497422531601</c:v>
                </c:pt>
                <c:pt idx="62">
                  <c:v>7.5335769719497403</c:v>
                </c:pt>
                <c:pt idx="63">
                  <c:v>7.1582344687465103</c:v>
                </c:pt>
                <c:pt idx="64">
                  <c:v>7.0622745208570397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B-4DE0-B6B8-48FAB6649A74}"/>
            </c:ext>
          </c:extLst>
        </c:ser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1.04188792168816</c:v>
                </c:pt>
                <c:pt idx="1">
                  <c:v>1.0620809712717501</c:v>
                </c:pt>
                <c:pt idx="2">
                  <c:v>0.78647655086413304</c:v>
                </c:pt>
                <c:pt idx="3">
                  <c:v>0.76582790882503804</c:v>
                </c:pt>
                <c:pt idx="4">
                  <c:v>0.88182348648125197</c:v>
                </c:pt>
                <c:pt idx="5">
                  <c:v>0.1772974424945</c:v>
                </c:pt>
                <c:pt idx="6">
                  <c:v>0.26330318237865002</c:v>
                </c:pt>
                <c:pt idx="7">
                  <c:v>0.45093733278616999</c:v>
                </c:pt>
                <c:pt idx="8">
                  <c:v>1.4958598168567201</c:v>
                </c:pt>
                <c:pt idx="9">
                  <c:v>0.75229205925029696</c:v>
                </c:pt>
                <c:pt idx="10">
                  <c:v>2.3532102187820099E-2</c:v>
                </c:pt>
                <c:pt idx="11">
                  <c:v>0.42199417305098702</c:v>
                </c:pt>
                <c:pt idx="12">
                  <c:v>0.218188015771624</c:v>
                </c:pt>
                <c:pt idx="13">
                  <c:v>0.83311709322715199</c:v>
                </c:pt>
                <c:pt idx="14">
                  <c:v>1.0760370053045301</c:v>
                </c:pt>
                <c:pt idx="15">
                  <c:v>1.07735938853795</c:v>
                </c:pt>
                <c:pt idx="16">
                  <c:v>1.00854443181367</c:v>
                </c:pt>
                <c:pt idx="17">
                  <c:v>1.1990721940608899</c:v>
                </c:pt>
                <c:pt idx="18">
                  <c:v>0.84061086858238798</c:v>
                </c:pt>
                <c:pt idx="19">
                  <c:v>0.44632148807243899</c:v>
                </c:pt>
                <c:pt idx="20">
                  <c:v>-7.7716499418688703E-2</c:v>
                </c:pt>
                <c:pt idx="21">
                  <c:v>-8.5367355195002895E-2</c:v>
                </c:pt>
                <c:pt idx="22">
                  <c:v>-0.29736577315607698</c:v>
                </c:pt>
                <c:pt idx="23">
                  <c:v>0.37017266653257902</c:v>
                </c:pt>
                <c:pt idx="24">
                  <c:v>0.26027029503146798</c:v>
                </c:pt>
                <c:pt idx="25">
                  <c:v>0.38049108574956098</c:v>
                </c:pt>
                <c:pt idx="26">
                  <c:v>1.09809367341352</c:v>
                </c:pt>
                <c:pt idx="27">
                  <c:v>0.44729978285309102</c:v>
                </c:pt>
                <c:pt idx="28">
                  <c:v>-1.23853589345378</c:v>
                </c:pt>
                <c:pt idx="29">
                  <c:v>-1.02749430143631</c:v>
                </c:pt>
                <c:pt idx="30">
                  <c:v>-1.4057871733056799</c:v>
                </c:pt>
                <c:pt idx="31">
                  <c:v>-1.2123767138460799</c:v>
                </c:pt>
                <c:pt idx="32">
                  <c:v>0.16664769855764999</c:v>
                </c:pt>
                <c:pt idx="33">
                  <c:v>3.9200663700765803E-2</c:v>
                </c:pt>
                <c:pt idx="34">
                  <c:v>-0.134314771268673</c:v>
                </c:pt>
                <c:pt idx="35">
                  <c:v>-0.28581917153547098</c:v>
                </c:pt>
                <c:pt idx="36">
                  <c:v>-0.44440043211881602</c:v>
                </c:pt>
                <c:pt idx="37">
                  <c:v>-0.56787634515673702</c:v>
                </c:pt>
                <c:pt idx="38">
                  <c:v>-0.11293731047407</c:v>
                </c:pt>
                <c:pt idx="39">
                  <c:v>-0.21707614390097299</c:v>
                </c:pt>
                <c:pt idx="40">
                  <c:v>-2.0177093560594299</c:v>
                </c:pt>
                <c:pt idx="41">
                  <c:v>-2.2665460401694699</c:v>
                </c:pt>
                <c:pt idx="42">
                  <c:v>-0.90718014936167901</c:v>
                </c:pt>
                <c:pt idx="43">
                  <c:v>-0.49295869110395402</c:v>
                </c:pt>
                <c:pt idx="44">
                  <c:v>0.21250262137730999</c:v>
                </c:pt>
                <c:pt idx="45">
                  <c:v>1.72889637877</c:v>
                </c:pt>
                <c:pt idx="46">
                  <c:v>2.1020952906094501</c:v>
                </c:pt>
                <c:pt idx="47">
                  <c:v>2.0867910186162502</c:v>
                </c:pt>
                <c:pt idx="48">
                  <c:v>2.3101836508745102</c:v>
                </c:pt>
                <c:pt idx="49">
                  <c:v>1.8751588930015299</c:v>
                </c:pt>
                <c:pt idx="50">
                  <c:v>2.48743345206202</c:v>
                </c:pt>
                <c:pt idx="51">
                  <c:v>2.4498447055246899</c:v>
                </c:pt>
                <c:pt idx="52">
                  <c:v>1.71011110134706</c:v>
                </c:pt>
                <c:pt idx="53">
                  <c:v>3.9473891849262199</c:v>
                </c:pt>
                <c:pt idx="54">
                  <c:v>0.66335841907694304</c:v>
                </c:pt>
                <c:pt idx="55">
                  <c:v>0.45287990453165899</c:v>
                </c:pt>
                <c:pt idx="56">
                  <c:v>-0.64452528548096799</c:v>
                </c:pt>
                <c:pt idx="57">
                  <c:v>-2.2992388050104</c:v>
                </c:pt>
                <c:pt idx="58">
                  <c:v>-2.88356678229857</c:v>
                </c:pt>
                <c:pt idx="59">
                  <c:v>-3.6890106774365901</c:v>
                </c:pt>
                <c:pt idx="60">
                  <c:v>-5.8543780618916204</c:v>
                </c:pt>
                <c:pt idx="61">
                  <c:v>-7.0896605675145903</c:v>
                </c:pt>
                <c:pt idx="62">
                  <c:v>-7.0042653413549303</c:v>
                </c:pt>
                <c:pt idx="63">
                  <c:v>-5.4419057480386996</c:v>
                </c:pt>
                <c:pt idx="64">
                  <c:v>-4.06936567798508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5F9B-4DE0-B6B8-48FAB664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2.0827231418375098</c:v>
                      </c:pt>
                      <c:pt idx="1">
                        <c:v>2.4142349975430699</c:v>
                      </c:pt>
                      <c:pt idx="2">
                        <c:v>2.6466774001403102</c:v>
                      </c:pt>
                      <c:pt idx="3">
                        <c:v>2.7750107059276901</c:v>
                      </c:pt>
                      <c:pt idx="4">
                        <c:v>2.6832123440604101</c:v>
                      </c:pt>
                      <c:pt idx="5">
                        <c:v>2.79435210567837</c:v>
                      </c:pt>
                      <c:pt idx="6">
                        <c:v>2.7934507186456901</c:v>
                      </c:pt>
                      <c:pt idx="7">
                        <c:v>2.2030448984778901</c:v>
                      </c:pt>
                      <c:pt idx="8">
                        <c:v>0.54938873001347699</c:v>
                      </c:pt>
                      <c:pt idx="9">
                        <c:v>-0.45366806100840101</c:v>
                      </c:pt>
                      <c:pt idx="10">
                        <c:v>-0.26596498978330801</c:v>
                      </c:pt>
                      <c:pt idx="11">
                        <c:v>-0.21040549933399999</c:v>
                      </c:pt>
                      <c:pt idx="12">
                        <c:v>-1.8461456801475599E-2</c:v>
                      </c:pt>
                      <c:pt idx="13">
                        <c:v>-0.15480865528917701</c:v>
                      </c:pt>
                      <c:pt idx="14">
                        <c:v>-0.18914665424584901</c:v>
                      </c:pt>
                      <c:pt idx="15">
                        <c:v>-9.3627534116047503E-2</c:v>
                      </c:pt>
                      <c:pt idx="16">
                        <c:v>0.25358831277298299</c:v>
                      </c:pt>
                      <c:pt idx="17">
                        <c:v>0.114945670797275</c:v>
                      </c:pt>
                      <c:pt idx="18">
                        <c:v>0.40319881285903297</c:v>
                      </c:pt>
                      <c:pt idx="19">
                        <c:v>0.697610550381631</c:v>
                      </c:pt>
                      <c:pt idx="20">
                        <c:v>1.2153580023437101</c:v>
                      </c:pt>
                      <c:pt idx="21">
                        <c:v>1.1101659474377801</c:v>
                      </c:pt>
                      <c:pt idx="22">
                        <c:v>1.1378977981329399</c:v>
                      </c:pt>
                      <c:pt idx="23">
                        <c:v>0.86011754967527998</c:v>
                      </c:pt>
                      <c:pt idx="24">
                        <c:v>1.16230807014044</c:v>
                      </c:pt>
                      <c:pt idx="25">
                        <c:v>0.76785824819167703</c:v>
                      </c:pt>
                      <c:pt idx="26">
                        <c:v>0.38844957951276199</c:v>
                      </c:pt>
                      <c:pt idx="27">
                        <c:v>0.58618955280841301</c:v>
                      </c:pt>
                      <c:pt idx="28">
                        <c:v>1.7118981933501101</c:v>
                      </c:pt>
                      <c:pt idx="29">
                        <c:v>1.3663510876346101</c:v>
                      </c:pt>
                      <c:pt idx="30">
                        <c:v>1.12017084705366</c:v>
                      </c:pt>
                      <c:pt idx="31">
                        <c:v>0.97394540389664497</c:v>
                      </c:pt>
                      <c:pt idx="32">
                        <c:v>0.50784282243413703</c:v>
                      </c:pt>
                      <c:pt idx="33">
                        <c:v>0.69000954041444695</c:v>
                      </c:pt>
                      <c:pt idx="34">
                        <c:v>0.88327567510523397</c:v>
                      </c:pt>
                      <c:pt idx="35">
                        <c:v>0.98982752213694702</c:v>
                      </c:pt>
                      <c:pt idx="36">
                        <c:v>1.2649038733732201</c:v>
                      </c:pt>
                      <c:pt idx="37">
                        <c:v>1.4563870034927799</c:v>
                      </c:pt>
                      <c:pt idx="38">
                        <c:v>1.4060579151889201</c:v>
                      </c:pt>
                      <c:pt idx="39">
                        <c:v>2.0551667023054798</c:v>
                      </c:pt>
                      <c:pt idx="40">
                        <c:v>3.8919692321750201</c:v>
                      </c:pt>
                      <c:pt idx="41">
                        <c:v>4.1690927626372103</c:v>
                      </c:pt>
                      <c:pt idx="42">
                        <c:v>3.0395447104903401</c:v>
                      </c:pt>
                      <c:pt idx="43">
                        <c:v>2.7474387158340501</c:v>
                      </c:pt>
                      <c:pt idx="44">
                        <c:v>2.9640698883060801</c:v>
                      </c:pt>
                      <c:pt idx="45">
                        <c:v>2.1935298576359199</c:v>
                      </c:pt>
                      <c:pt idx="46">
                        <c:v>2.0608230174259701</c:v>
                      </c:pt>
                      <c:pt idx="47">
                        <c:v>2.2014206537949002</c:v>
                      </c:pt>
                      <c:pt idx="48">
                        <c:v>2.3792800636885998</c:v>
                      </c:pt>
                      <c:pt idx="49">
                        <c:v>2.56903647990399</c:v>
                      </c:pt>
                      <c:pt idx="50">
                        <c:v>1.90845932042141</c:v>
                      </c:pt>
                      <c:pt idx="51">
                        <c:v>1.57693622156285</c:v>
                      </c:pt>
                      <c:pt idx="52">
                        <c:v>1.7225988091719999</c:v>
                      </c:pt>
                      <c:pt idx="53">
                        <c:v>-1.6836968581589999</c:v>
                      </c:pt>
                      <c:pt idx="54">
                        <c:v>0.12625112712533201</c:v>
                      </c:pt>
                      <c:pt idx="55">
                        <c:v>-1.6223233923095499E-2</c:v>
                      </c:pt>
                      <c:pt idx="56">
                        <c:v>0.82278557507608596</c:v>
                      </c:pt>
                      <c:pt idx="57">
                        <c:v>1.9390603107376301</c:v>
                      </c:pt>
                      <c:pt idx="58">
                        <c:v>2.48753862002417</c:v>
                      </c:pt>
                      <c:pt idx="59">
                        <c:v>3.0414976725440699</c:v>
                      </c:pt>
                      <c:pt idx="60">
                        <c:v>5.1037519362241497</c:v>
                      </c:pt>
                      <c:pt idx="61">
                        <c:v>6.5417138886200101</c:v>
                      </c:pt>
                      <c:pt idx="62">
                        <c:v>7.1580154316625499</c:v>
                      </c:pt>
                      <c:pt idx="63">
                        <c:v>6.7582629987178997</c:v>
                      </c:pt>
                      <c:pt idx="64">
                        <c:v>6.5806055433038599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B-4DE0-B6B8-48FAB6649A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9B-4DE0-B6B8-48FAB6649A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9B-4DE0-B6B8-48FAB6649A74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1.44892768636009</c:v>
                </c:pt>
                <c:pt idx="1">
                  <c:v>1.4169217276094099</c:v>
                </c:pt>
                <c:pt idx="2">
                  <c:v>1.2646343249646199</c:v>
                </c:pt>
                <c:pt idx="3">
                  <c:v>0.92854522126776795</c:v>
                </c:pt>
                <c:pt idx="4">
                  <c:v>0.244359345048451</c:v>
                </c:pt>
                <c:pt idx="5">
                  <c:v>0.331469680696728</c:v>
                </c:pt>
                <c:pt idx="6">
                  <c:v>9.0199350015382193E-2</c:v>
                </c:pt>
                <c:pt idx="7">
                  <c:v>-1.52958144027843</c:v>
                </c:pt>
                <c:pt idx="8">
                  <c:v>-5.4066795518356203</c:v>
                </c:pt>
                <c:pt idx="9">
                  <c:v>-6.2851164929479602</c:v>
                </c:pt>
                <c:pt idx="10">
                  <c:v>-3.8392920593867101</c:v>
                </c:pt>
                <c:pt idx="11">
                  <c:v>-2.6575928550150798</c:v>
                </c:pt>
                <c:pt idx="12">
                  <c:v>-1.55357363222606</c:v>
                </c:pt>
                <c:pt idx="13">
                  <c:v>-1.25437686132682</c:v>
                </c:pt>
                <c:pt idx="14">
                  <c:v>-0.97362504454963505</c:v>
                </c:pt>
                <c:pt idx="15">
                  <c:v>-0.69005797903855604</c:v>
                </c:pt>
                <c:pt idx="16">
                  <c:v>-0.111532200121474</c:v>
                </c:pt>
                <c:pt idx="17">
                  <c:v>-0.40245726147168198</c:v>
                </c:pt>
                <c:pt idx="18">
                  <c:v>0.452539030732169</c:v>
                </c:pt>
                <c:pt idx="19">
                  <c:v>0.58517904728796599</c:v>
                </c:pt>
                <c:pt idx="20">
                  <c:v>1.1110007158044899</c:v>
                </c:pt>
                <c:pt idx="21">
                  <c:v>0.93656376818535103</c:v>
                </c:pt>
                <c:pt idx="22">
                  <c:v>0.78770461644921896</c:v>
                </c:pt>
                <c:pt idx="23">
                  <c:v>0.48298464076424402</c:v>
                </c:pt>
                <c:pt idx="24">
                  <c:v>0.57977853290435599</c:v>
                </c:pt>
                <c:pt idx="25">
                  <c:v>-0.47657901710636003</c:v>
                </c:pt>
                <c:pt idx="26">
                  <c:v>-0.70450352766647495</c:v>
                </c:pt>
                <c:pt idx="27">
                  <c:v>-0.49187620031693802</c:v>
                </c:pt>
                <c:pt idx="28">
                  <c:v>0.84371326321138396</c:v>
                </c:pt>
                <c:pt idx="29">
                  <c:v>0.81240480038945895</c:v>
                </c:pt>
                <c:pt idx="30">
                  <c:v>0.37540102295156402</c:v>
                </c:pt>
                <c:pt idx="31">
                  <c:v>0.602864869729274</c:v>
                </c:pt>
                <c:pt idx="32">
                  <c:v>0.15303758508753201</c:v>
                </c:pt>
                <c:pt idx="33">
                  <c:v>0.66710554705514402</c:v>
                </c:pt>
                <c:pt idx="34">
                  <c:v>0.98452679554907296</c:v>
                </c:pt>
                <c:pt idx="35">
                  <c:v>0.52818633768924905</c:v>
                </c:pt>
                <c:pt idx="36">
                  <c:v>0.80834802410140605</c:v>
                </c:pt>
                <c:pt idx="37">
                  <c:v>0.87936498745216296</c:v>
                </c:pt>
                <c:pt idx="38">
                  <c:v>0.92235269279694898</c:v>
                </c:pt>
                <c:pt idx="39">
                  <c:v>1.74996321646063</c:v>
                </c:pt>
                <c:pt idx="40">
                  <c:v>3.3696143820204698</c:v>
                </c:pt>
                <c:pt idx="41">
                  <c:v>3.26401584256018</c:v>
                </c:pt>
                <c:pt idx="42">
                  <c:v>1.3993089974658199</c:v>
                </c:pt>
                <c:pt idx="43">
                  <c:v>1.4553000281064199</c:v>
                </c:pt>
                <c:pt idx="44">
                  <c:v>1.7030100483423201</c:v>
                </c:pt>
                <c:pt idx="45">
                  <c:v>0.263346454767316</c:v>
                </c:pt>
                <c:pt idx="46">
                  <c:v>-0.29438373389189099</c:v>
                </c:pt>
                <c:pt idx="47">
                  <c:v>-0.73829828623024696</c:v>
                </c:pt>
                <c:pt idx="48">
                  <c:v>-1.00242150264398</c:v>
                </c:pt>
                <c:pt idx="49">
                  <c:v>-1.44017153870618</c:v>
                </c:pt>
                <c:pt idx="50">
                  <c:v>-2.3095553683447201</c:v>
                </c:pt>
                <c:pt idx="51">
                  <c:v>-3.1210212292592101</c:v>
                </c:pt>
                <c:pt idx="52">
                  <c:v>-3.5148239145994502</c:v>
                </c:pt>
                <c:pt idx="53">
                  <c:v>-16.081187985524402</c:v>
                </c:pt>
                <c:pt idx="54">
                  <c:v>-5.1544741990412604</c:v>
                </c:pt>
                <c:pt idx="55">
                  <c:v>-3.1947583407832099</c:v>
                </c:pt>
                <c:pt idx="56">
                  <c:v>-1.9747261671482199</c:v>
                </c:pt>
                <c:pt idx="57">
                  <c:v>-0.11165311232161899</c:v>
                </c:pt>
                <c:pt idx="58">
                  <c:v>0.192382011490281</c:v>
                </c:pt>
                <c:pt idx="59">
                  <c:v>1.7819556257129501</c:v>
                </c:pt>
                <c:pt idx="60">
                  <c:v>4.5349386529626399</c:v>
                </c:pt>
                <c:pt idx="61">
                  <c:v>6.5716497422531601</c:v>
                </c:pt>
                <c:pt idx="62">
                  <c:v>7.5335769719497403</c:v>
                </c:pt>
                <c:pt idx="63">
                  <c:v>7.1582344687465103</c:v>
                </c:pt>
                <c:pt idx="64">
                  <c:v>7.0622745208570397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DE4-914F-C0F0E2B056A8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283-4DE4-914F-C0F0E2B0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2.0827231418375098</c:v>
                      </c:pt>
                      <c:pt idx="1">
                        <c:v>2.4142349975430699</c:v>
                      </c:pt>
                      <c:pt idx="2">
                        <c:v>2.6466774001403102</c:v>
                      </c:pt>
                      <c:pt idx="3">
                        <c:v>2.7750107059276901</c:v>
                      </c:pt>
                      <c:pt idx="4">
                        <c:v>2.6832123440604101</c:v>
                      </c:pt>
                      <c:pt idx="5">
                        <c:v>2.79435210567837</c:v>
                      </c:pt>
                      <c:pt idx="6">
                        <c:v>2.7934507186456901</c:v>
                      </c:pt>
                      <c:pt idx="7">
                        <c:v>2.2030448984778901</c:v>
                      </c:pt>
                      <c:pt idx="8">
                        <c:v>0.54938873001347699</c:v>
                      </c:pt>
                      <c:pt idx="9">
                        <c:v>-0.45366806100840101</c:v>
                      </c:pt>
                      <c:pt idx="10">
                        <c:v>-0.26596498978330801</c:v>
                      </c:pt>
                      <c:pt idx="11">
                        <c:v>-0.21040549933399999</c:v>
                      </c:pt>
                      <c:pt idx="12">
                        <c:v>-1.8461456801475599E-2</c:v>
                      </c:pt>
                      <c:pt idx="13">
                        <c:v>-0.15480865528917701</c:v>
                      </c:pt>
                      <c:pt idx="14">
                        <c:v>-0.18914665424584901</c:v>
                      </c:pt>
                      <c:pt idx="15">
                        <c:v>-9.3627534116047503E-2</c:v>
                      </c:pt>
                      <c:pt idx="16">
                        <c:v>0.25358831277298299</c:v>
                      </c:pt>
                      <c:pt idx="17">
                        <c:v>0.114945670797275</c:v>
                      </c:pt>
                      <c:pt idx="18">
                        <c:v>0.40319881285903297</c:v>
                      </c:pt>
                      <c:pt idx="19">
                        <c:v>0.697610550381631</c:v>
                      </c:pt>
                      <c:pt idx="20">
                        <c:v>1.2153580023437101</c:v>
                      </c:pt>
                      <c:pt idx="21">
                        <c:v>1.1101659474377801</c:v>
                      </c:pt>
                      <c:pt idx="22">
                        <c:v>1.1378977981329399</c:v>
                      </c:pt>
                      <c:pt idx="23">
                        <c:v>0.86011754967527998</c:v>
                      </c:pt>
                      <c:pt idx="24">
                        <c:v>1.16230807014044</c:v>
                      </c:pt>
                      <c:pt idx="25">
                        <c:v>0.76785824819167703</c:v>
                      </c:pt>
                      <c:pt idx="26">
                        <c:v>0.38844957951276199</c:v>
                      </c:pt>
                      <c:pt idx="27">
                        <c:v>0.58618955280841301</c:v>
                      </c:pt>
                      <c:pt idx="28">
                        <c:v>1.7118981933501101</c:v>
                      </c:pt>
                      <c:pt idx="29">
                        <c:v>1.3663510876346101</c:v>
                      </c:pt>
                      <c:pt idx="30">
                        <c:v>1.12017084705366</c:v>
                      </c:pt>
                      <c:pt idx="31">
                        <c:v>0.97394540389664497</c:v>
                      </c:pt>
                      <c:pt idx="32">
                        <c:v>0.50784282243413703</c:v>
                      </c:pt>
                      <c:pt idx="33">
                        <c:v>0.69000954041444695</c:v>
                      </c:pt>
                      <c:pt idx="34">
                        <c:v>0.88327567510523397</c:v>
                      </c:pt>
                      <c:pt idx="35">
                        <c:v>0.98982752213694702</c:v>
                      </c:pt>
                      <c:pt idx="36">
                        <c:v>1.2649038733732201</c:v>
                      </c:pt>
                      <c:pt idx="37">
                        <c:v>1.4563870034927799</c:v>
                      </c:pt>
                      <c:pt idx="38">
                        <c:v>1.4060579151889201</c:v>
                      </c:pt>
                      <c:pt idx="39">
                        <c:v>2.0551667023054798</c:v>
                      </c:pt>
                      <c:pt idx="40">
                        <c:v>3.8919692321750201</c:v>
                      </c:pt>
                      <c:pt idx="41">
                        <c:v>4.1690927626372103</c:v>
                      </c:pt>
                      <c:pt idx="42">
                        <c:v>3.0395447104903401</c:v>
                      </c:pt>
                      <c:pt idx="43">
                        <c:v>2.7474387158340501</c:v>
                      </c:pt>
                      <c:pt idx="44">
                        <c:v>2.9640698883060801</c:v>
                      </c:pt>
                      <c:pt idx="45">
                        <c:v>2.1935298576359199</c:v>
                      </c:pt>
                      <c:pt idx="46">
                        <c:v>2.0608230174259701</c:v>
                      </c:pt>
                      <c:pt idx="47">
                        <c:v>2.2014206537949002</c:v>
                      </c:pt>
                      <c:pt idx="48">
                        <c:v>2.3792800636885998</c:v>
                      </c:pt>
                      <c:pt idx="49">
                        <c:v>2.56903647990399</c:v>
                      </c:pt>
                      <c:pt idx="50">
                        <c:v>1.90845932042141</c:v>
                      </c:pt>
                      <c:pt idx="51">
                        <c:v>1.57693622156285</c:v>
                      </c:pt>
                      <c:pt idx="52">
                        <c:v>1.7225988091719999</c:v>
                      </c:pt>
                      <c:pt idx="53">
                        <c:v>-1.6836968581589999</c:v>
                      </c:pt>
                      <c:pt idx="54">
                        <c:v>0.12625112712533201</c:v>
                      </c:pt>
                      <c:pt idx="55">
                        <c:v>-1.6223233923095499E-2</c:v>
                      </c:pt>
                      <c:pt idx="56">
                        <c:v>0.82278557507608596</c:v>
                      </c:pt>
                      <c:pt idx="57">
                        <c:v>1.9390603107376301</c:v>
                      </c:pt>
                      <c:pt idx="58">
                        <c:v>2.48753862002417</c:v>
                      </c:pt>
                      <c:pt idx="59">
                        <c:v>3.0414976725440699</c:v>
                      </c:pt>
                      <c:pt idx="60">
                        <c:v>5.1037519362241497</c:v>
                      </c:pt>
                      <c:pt idx="61">
                        <c:v>6.5417138886200101</c:v>
                      </c:pt>
                      <c:pt idx="62">
                        <c:v>7.1580154316625499</c:v>
                      </c:pt>
                      <c:pt idx="63">
                        <c:v>6.7582629987178997</c:v>
                      </c:pt>
                      <c:pt idx="64">
                        <c:v>6.5806055433038599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3-4DE4-914F-C0F0E2B056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1.04188792168816</c:v>
                      </c:pt>
                      <c:pt idx="1">
                        <c:v>1.0620809712717501</c:v>
                      </c:pt>
                      <c:pt idx="2">
                        <c:v>0.78647655086413304</c:v>
                      </c:pt>
                      <c:pt idx="3">
                        <c:v>0.76582790882503804</c:v>
                      </c:pt>
                      <c:pt idx="4">
                        <c:v>0.88182348648125197</c:v>
                      </c:pt>
                      <c:pt idx="5">
                        <c:v>0.1772974424945</c:v>
                      </c:pt>
                      <c:pt idx="6">
                        <c:v>0.26330318237865002</c:v>
                      </c:pt>
                      <c:pt idx="7">
                        <c:v>0.45093733278616999</c:v>
                      </c:pt>
                      <c:pt idx="8">
                        <c:v>1.4958598168567201</c:v>
                      </c:pt>
                      <c:pt idx="9">
                        <c:v>0.75229205925029696</c:v>
                      </c:pt>
                      <c:pt idx="10">
                        <c:v>2.3532102187820099E-2</c:v>
                      </c:pt>
                      <c:pt idx="11">
                        <c:v>0.42199417305098702</c:v>
                      </c:pt>
                      <c:pt idx="12">
                        <c:v>0.218188015771624</c:v>
                      </c:pt>
                      <c:pt idx="13">
                        <c:v>0.83311709322715199</c:v>
                      </c:pt>
                      <c:pt idx="14">
                        <c:v>1.0760370053045301</c:v>
                      </c:pt>
                      <c:pt idx="15">
                        <c:v>1.07735938853795</c:v>
                      </c:pt>
                      <c:pt idx="16">
                        <c:v>1.00854443181367</c:v>
                      </c:pt>
                      <c:pt idx="17">
                        <c:v>1.1990721940608899</c:v>
                      </c:pt>
                      <c:pt idx="18">
                        <c:v>0.84061086858238798</c:v>
                      </c:pt>
                      <c:pt idx="19">
                        <c:v>0.44632148807243899</c:v>
                      </c:pt>
                      <c:pt idx="20">
                        <c:v>-7.7716499418688703E-2</c:v>
                      </c:pt>
                      <c:pt idx="21">
                        <c:v>-8.5367355195002895E-2</c:v>
                      </c:pt>
                      <c:pt idx="22">
                        <c:v>-0.29736577315607698</c:v>
                      </c:pt>
                      <c:pt idx="23">
                        <c:v>0.37017266653257902</c:v>
                      </c:pt>
                      <c:pt idx="24">
                        <c:v>0.26027029503146798</c:v>
                      </c:pt>
                      <c:pt idx="25">
                        <c:v>0.38049108574956098</c:v>
                      </c:pt>
                      <c:pt idx="26">
                        <c:v>1.09809367341352</c:v>
                      </c:pt>
                      <c:pt idx="27">
                        <c:v>0.44729978285309102</c:v>
                      </c:pt>
                      <c:pt idx="28">
                        <c:v>-1.23853589345378</c:v>
                      </c:pt>
                      <c:pt idx="29">
                        <c:v>-1.02749430143631</c:v>
                      </c:pt>
                      <c:pt idx="30">
                        <c:v>-1.4057871733056799</c:v>
                      </c:pt>
                      <c:pt idx="31">
                        <c:v>-1.2123767138460799</c:v>
                      </c:pt>
                      <c:pt idx="32">
                        <c:v>0.16664769855764999</c:v>
                      </c:pt>
                      <c:pt idx="33">
                        <c:v>3.9200663700765803E-2</c:v>
                      </c:pt>
                      <c:pt idx="34">
                        <c:v>-0.134314771268673</c:v>
                      </c:pt>
                      <c:pt idx="35">
                        <c:v>-0.28581917153547098</c:v>
                      </c:pt>
                      <c:pt idx="36">
                        <c:v>-0.44440043211881602</c:v>
                      </c:pt>
                      <c:pt idx="37">
                        <c:v>-0.56787634515673702</c:v>
                      </c:pt>
                      <c:pt idx="38">
                        <c:v>-0.11293731047407</c:v>
                      </c:pt>
                      <c:pt idx="39">
                        <c:v>-0.21707614390097299</c:v>
                      </c:pt>
                      <c:pt idx="40">
                        <c:v>-2.0177093560594299</c:v>
                      </c:pt>
                      <c:pt idx="41">
                        <c:v>-2.2665460401694699</c:v>
                      </c:pt>
                      <c:pt idx="42">
                        <c:v>-0.90718014936167901</c:v>
                      </c:pt>
                      <c:pt idx="43">
                        <c:v>-0.49295869110395402</c:v>
                      </c:pt>
                      <c:pt idx="44">
                        <c:v>0.21250262137730999</c:v>
                      </c:pt>
                      <c:pt idx="45">
                        <c:v>1.72889637877</c:v>
                      </c:pt>
                      <c:pt idx="46">
                        <c:v>2.1020952906094501</c:v>
                      </c:pt>
                      <c:pt idx="47">
                        <c:v>2.0867910186162502</c:v>
                      </c:pt>
                      <c:pt idx="48">
                        <c:v>2.3101836508745102</c:v>
                      </c:pt>
                      <c:pt idx="49">
                        <c:v>1.8751588930015299</c:v>
                      </c:pt>
                      <c:pt idx="50">
                        <c:v>2.48743345206202</c:v>
                      </c:pt>
                      <c:pt idx="51">
                        <c:v>2.4498447055246899</c:v>
                      </c:pt>
                      <c:pt idx="52">
                        <c:v>1.71011110134706</c:v>
                      </c:pt>
                      <c:pt idx="53">
                        <c:v>3.9473891849262199</c:v>
                      </c:pt>
                      <c:pt idx="54">
                        <c:v>0.66335841907694304</c:v>
                      </c:pt>
                      <c:pt idx="55">
                        <c:v>0.45287990453165899</c:v>
                      </c:pt>
                      <c:pt idx="56">
                        <c:v>-0.64452528548096799</c:v>
                      </c:pt>
                      <c:pt idx="57">
                        <c:v>-2.2992388050104</c:v>
                      </c:pt>
                      <c:pt idx="58">
                        <c:v>-2.88356678229857</c:v>
                      </c:pt>
                      <c:pt idx="59">
                        <c:v>-3.6890106774365901</c:v>
                      </c:pt>
                      <c:pt idx="60">
                        <c:v>-5.8543780618916204</c:v>
                      </c:pt>
                      <c:pt idx="61">
                        <c:v>-7.0896605675145903</c:v>
                      </c:pt>
                      <c:pt idx="62">
                        <c:v>-7.0042653413549303</c:v>
                      </c:pt>
                      <c:pt idx="63">
                        <c:v>-5.4419057480386996</c:v>
                      </c:pt>
                      <c:pt idx="64">
                        <c:v>-4.06936567798508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83-4DE4-914F-C0F0E2B056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83-4DE4-914F-C0F0E2B056A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1.04188792168816</c:v>
                </c:pt>
                <c:pt idx="1">
                  <c:v>1.0620809712717501</c:v>
                </c:pt>
                <c:pt idx="2">
                  <c:v>0.78647655086413304</c:v>
                </c:pt>
                <c:pt idx="3">
                  <c:v>0.76582790882503804</c:v>
                </c:pt>
                <c:pt idx="4">
                  <c:v>0.88182348648125197</c:v>
                </c:pt>
                <c:pt idx="5">
                  <c:v>0.1772974424945</c:v>
                </c:pt>
                <c:pt idx="6">
                  <c:v>0.26330318237865002</c:v>
                </c:pt>
                <c:pt idx="7">
                  <c:v>0.45093733278616999</c:v>
                </c:pt>
                <c:pt idx="8">
                  <c:v>1.4958598168567201</c:v>
                </c:pt>
                <c:pt idx="9">
                  <c:v>0.75229205925029696</c:v>
                </c:pt>
                <c:pt idx="10">
                  <c:v>2.3532102187820099E-2</c:v>
                </c:pt>
                <c:pt idx="11">
                  <c:v>0.42199417305098702</c:v>
                </c:pt>
                <c:pt idx="12">
                  <c:v>0.218188015771624</c:v>
                </c:pt>
                <c:pt idx="13">
                  <c:v>0.83311709322715199</c:v>
                </c:pt>
                <c:pt idx="14">
                  <c:v>1.0760370053045301</c:v>
                </c:pt>
                <c:pt idx="15">
                  <c:v>1.07735938853795</c:v>
                </c:pt>
                <c:pt idx="16">
                  <c:v>1.00854443181367</c:v>
                </c:pt>
                <c:pt idx="17">
                  <c:v>1.1990721940608899</c:v>
                </c:pt>
                <c:pt idx="18">
                  <c:v>0.84061086858238798</c:v>
                </c:pt>
                <c:pt idx="19">
                  <c:v>0.44632148807243899</c:v>
                </c:pt>
                <c:pt idx="20">
                  <c:v>-7.7716499418688703E-2</c:v>
                </c:pt>
                <c:pt idx="21">
                  <c:v>-8.5367355195002895E-2</c:v>
                </c:pt>
                <c:pt idx="22">
                  <c:v>-0.29736577315607698</c:v>
                </c:pt>
                <c:pt idx="23">
                  <c:v>0.37017266653257902</c:v>
                </c:pt>
                <c:pt idx="24">
                  <c:v>0.26027029503146798</c:v>
                </c:pt>
                <c:pt idx="25">
                  <c:v>0.38049108574956098</c:v>
                </c:pt>
                <c:pt idx="26">
                  <c:v>1.09809367341352</c:v>
                </c:pt>
                <c:pt idx="27">
                  <c:v>0.44729978285309102</c:v>
                </c:pt>
                <c:pt idx="28">
                  <c:v>-1.23853589345378</c:v>
                </c:pt>
                <c:pt idx="29">
                  <c:v>-1.02749430143631</c:v>
                </c:pt>
                <c:pt idx="30">
                  <c:v>-1.4057871733056799</c:v>
                </c:pt>
                <c:pt idx="31">
                  <c:v>-1.2123767138460799</c:v>
                </c:pt>
                <c:pt idx="32">
                  <c:v>0.16664769855764999</c:v>
                </c:pt>
                <c:pt idx="33">
                  <c:v>3.9200663700765803E-2</c:v>
                </c:pt>
                <c:pt idx="34">
                  <c:v>-0.134314771268673</c:v>
                </c:pt>
                <c:pt idx="35">
                  <c:v>-0.28581917153547098</c:v>
                </c:pt>
                <c:pt idx="36">
                  <c:v>-0.44440043211881602</c:v>
                </c:pt>
                <c:pt idx="37">
                  <c:v>-0.56787634515673702</c:v>
                </c:pt>
                <c:pt idx="38">
                  <c:v>-0.11293731047407</c:v>
                </c:pt>
                <c:pt idx="39">
                  <c:v>-0.21707614390097299</c:v>
                </c:pt>
                <c:pt idx="40">
                  <c:v>-2.0177093560594299</c:v>
                </c:pt>
                <c:pt idx="41">
                  <c:v>-2.2665460401694699</c:v>
                </c:pt>
                <c:pt idx="42">
                  <c:v>-0.90718014936167901</c:v>
                </c:pt>
                <c:pt idx="43">
                  <c:v>-0.49295869110395402</c:v>
                </c:pt>
                <c:pt idx="44">
                  <c:v>0.21250262137730999</c:v>
                </c:pt>
                <c:pt idx="45">
                  <c:v>1.72889637877</c:v>
                </c:pt>
                <c:pt idx="46">
                  <c:v>2.1020952906094501</c:v>
                </c:pt>
                <c:pt idx="47">
                  <c:v>2.0867910186162502</c:v>
                </c:pt>
                <c:pt idx="48">
                  <c:v>2.3101836508745102</c:v>
                </c:pt>
                <c:pt idx="49">
                  <c:v>1.8751588930015299</c:v>
                </c:pt>
                <c:pt idx="50">
                  <c:v>2.48743345206202</c:v>
                </c:pt>
                <c:pt idx="51">
                  <c:v>2.4498447055246899</c:v>
                </c:pt>
                <c:pt idx="52">
                  <c:v>1.71011110134706</c:v>
                </c:pt>
                <c:pt idx="53">
                  <c:v>3.9473891849262199</c:v>
                </c:pt>
                <c:pt idx="54">
                  <c:v>0.66335841907694304</c:v>
                </c:pt>
                <c:pt idx="55">
                  <c:v>0.45287990453165899</c:v>
                </c:pt>
                <c:pt idx="56">
                  <c:v>-0.64452528548096799</c:v>
                </c:pt>
                <c:pt idx="57">
                  <c:v>-2.2992388050104</c:v>
                </c:pt>
                <c:pt idx="58">
                  <c:v>-2.88356678229857</c:v>
                </c:pt>
                <c:pt idx="59">
                  <c:v>-3.6890106774365901</c:v>
                </c:pt>
                <c:pt idx="60">
                  <c:v>-5.8543780618916204</c:v>
                </c:pt>
                <c:pt idx="61">
                  <c:v>-7.0896605675145903</c:v>
                </c:pt>
                <c:pt idx="62">
                  <c:v>-7.0042653413549303</c:v>
                </c:pt>
                <c:pt idx="63">
                  <c:v>-5.4419057480386996</c:v>
                </c:pt>
                <c:pt idx="64">
                  <c:v>-4.06936567798508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542F-405A-BFD2-328A47979E0B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542F-405A-BFD2-328A4797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2.0827231418375098</c:v>
                      </c:pt>
                      <c:pt idx="1">
                        <c:v>2.4142349975430699</c:v>
                      </c:pt>
                      <c:pt idx="2">
                        <c:v>2.6466774001403102</c:v>
                      </c:pt>
                      <c:pt idx="3">
                        <c:v>2.7750107059276901</c:v>
                      </c:pt>
                      <c:pt idx="4">
                        <c:v>2.6832123440604101</c:v>
                      </c:pt>
                      <c:pt idx="5">
                        <c:v>2.79435210567837</c:v>
                      </c:pt>
                      <c:pt idx="6">
                        <c:v>2.7934507186456901</c:v>
                      </c:pt>
                      <c:pt idx="7">
                        <c:v>2.2030448984778901</c:v>
                      </c:pt>
                      <c:pt idx="8">
                        <c:v>0.54938873001347699</c:v>
                      </c:pt>
                      <c:pt idx="9">
                        <c:v>-0.45366806100840101</c:v>
                      </c:pt>
                      <c:pt idx="10">
                        <c:v>-0.26596498978330801</c:v>
                      </c:pt>
                      <c:pt idx="11">
                        <c:v>-0.21040549933399999</c:v>
                      </c:pt>
                      <c:pt idx="12">
                        <c:v>-1.8461456801475599E-2</c:v>
                      </c:pt>
                      <c:pt idx="13">
                        <c:v>-0.15480865528917701</c:v>
                      </c:pt>
                      <c:pt idx="14">
                        <c:v>-0.18914665424584901</c:v>
                      </c:pt>
                      <c:pt idx="15">
                        <c:v>-9.3627534116047503E-2</c:v>
                      </c:pt>
                      <c:pt idx="16">
                        <c:v>0.25358831277298299</c:v>
                      </c:pt>
                      <c:pt idx="17">
                        <c:v>0.114945670797275</c:v>
                      </c:pt>
                      <c:pt idx="18">
                        <c:v>0.40319881285903297</c:v>
                      </c:pt>
                      <c:pt idx="19">
                        <c:v>0.697610550381631</c:v>
                      </c:pt>
                      <c:pt idx="20">
                        <c:v>1.2153580023437101</c:v>
                      </c:pt>
                      <c:pt idx="21">
                        <c:v>1.1101659474377801</c:v>
                      </c:pt>
                      <c:pt idx="22">
                        <c:v>1.1378977981329399</c:v>
                      </c:pt>
                      <c:pt idx="23">
                        <c:v>0.86011754967527998</c:v>
                      </c:pt>
                      <c:pt idx="24">
                        <c:v>1.16230807014044</c:v>
                      </c:pt>
                      <c:pt idx="25">
                        <c:v>0.76785824819167703</c:v>
                      </c:pt>
                      <c:pt idx="26">
                        <c:v>0.38844957951276199</c:v>
                      </c:pt>
                      <c:pt idx="27">
                        <c:v>0.58618955280841301</c:v>
                      </c:pt>
                      <c:pt idx="28">
                        <c:v>1.7118981933501101</c:v>
                      </c:pt>
                      <c:pt idx="29">
                        <c:v>1.3663510876346101</c:v>
                      </c:pt>
                      <c:pt idx="30">
                        <c:v>1.12017084705366</c:v>
                      </c:pt>
                      <c:pt idx="31">
                        <c:v>0.97394540389664497</c:v>
                      </c:pt>
                      <c:pt idx="32">
                        <c:v>0.50784282243413703</c:v>
                      </c:pt>
                      <c:pt idx="33">
                        <c:v>0.69000954041444695</c:v>
                      </c:pt>
                      <c:pt idx="34">
                        <c:v>0.88327567510523397</c:v>
                      </c:pt>
                      <c:pt idx="35">
                        <c:v>0.98982752213694702</c:v>
                      </c:pt>
                      <c:pt idx="36">
                        <c:v>1.2649038733732201</c:v>
                      </c:pt>
                      <c:pt idx="37">
                        <c:v>1.4563870034927799</c:v>
                      </c:pt>
                      <c:pt idx="38">
                        <c:v>1.4060579151889201</c:v>
                      </c:pt>
                      <c:pt idx="39">
                        <c:v>2.0551667023054798</c:v>
                      </c:pt>
                      <c:pt idx="40">
                        <c:v>3.8919692321750201</c:v>
                      </c:pt>
                      <c:pt idx="41">
                        <c:v>4.1690927626372103</c:v>
                      </c:pt>
                      <c:pt idx="42">
                        <c:v>3.0395447104903401</c:v>
                      </c:pt>
                      <c:pt idx="43">
                        <c:v>2.7474387158340501</c:v>
                      </c:pt>
                      <c:pt idx="44">
                        <c:v>2.9640698883060801</c:v>
                      </c:pt>
                      <c:pt idx="45">
                        <c:v>2.1935298576359199</c:v>
                      </c:pt>
                      <c:pt idx="46">
                        <c:v>2.0608230174259701</c:v>
                      </c:pt>
                      <c:pt idx="47">
                        <c:v>2.2014206537949002</c:v>
                      </c:pt>
                      <c:pt idx="48">
                        <c:v>2.3792800636885998</c:v>
                      </c:pt>
                      <c:pt idx="49">
                        <c:v>2.56903647990399</c:v>
                      </c:pt>
                      <c:pt idx="50">
                        <c:v>1.90845932042141</c:v>
                      </c:pt>
                      <c:pt idx="51">
                        <c:v>1.57693622156285</c:v>
                      </c:pt>
                      <c:pt idx="52">
                        <c:v>1.7225988091719999</c:v>
                      </c:pt>
                      <c:pt idx="53">
                        <c:v>-1.6836968581589999</c:v>
                      </c:pt>
                      <c:pt idx="54">
                        <c:v>0.12625112712533201</c:v>
                      </c:pt>
                      <c:pt idx="55">
                        <c:v>-1.6223233923095499E-2</c:v>
                      </c:pt>
                      <c:pt idx="56">
                        <c:v>0.82278557507608596</c:v>
                      </c:pt>
                      <c:pt idx="57">
                        <c:v>1.9390603107376301</c:v>
                      </c:pt>
                      <c:pt idx="58">
                        <c:v>2.48753862002417</c:v>
                      </c:pt>
                      <c:pt idx="59">
                        <c:v>3.0414976725440699</c:v>
                      </c:pt>
                      <c:pt idx="60">
                        <c:v>5.1037519362241497</c:v>
                      </c:pt>
                      <c:pt idx="61">
                        <c:v>6.5417138886200101</c:v>
                      </c:pt>
                      <c:pt idx="62">
                        <c:v>7.1580154316625499</c:v>
                      </c:pt>
                      <c:pt idx="63">
                        <c:v>6.7582629987178997</c:v>
                      </c:pt>
                      <c:pt idx="64">
                        <c:v>6.5806055433038599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2F-405A-BFD2-328A47979E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1.44892768636009</c:v>
                      </c:pt>
                      <c:pt idx="1">
                        <c:v>1.4169217276094099</c:v>
                      </c:pt>
                      <c:pt idx="2">
                        <c:v>1.2646343249646199</c:v>
                      </c:pt>
                      <c:pt idx="3">
                        <c:v>0.92854522126776795</c:v>
                      </c:pt>
                      <c:pt idx="4">
                        <c:v>0.244359345048451</c:v>
                      </c:pt>
                      <c:pt idx="5">
                        <c:v>0.331469680696728</c:v>
                      </c:pt>
                      <c:pt idx="6">
                        <c:v>9.0199350015382193E-2</c:v>
                      </c:pt>
                      <c:pt idx="7">
                        <c:v>-1.52958144027843</c:v>
                      </c:pt>
                      <c:pt idx="8">
                        <c:v>-5.4066795518356203</c:v>
                      </c:pt>
                      <c:pt idx="9">
                        <c:v>-6.2851164929479602</c:v>
                      </c:pt>
                      <c:pt idx="10">
                        <c:v>-3.8392920593867101</c:v>
                      </c:pt>
                      <c:pt idx="11">
                        <c:v>-2.6575928550150798</c:v>
                      </c:pt>
                      <c:pt idx="12">
                        <c:v>-1.55357363222606</c:v>
                      </c:pt>
                      <c:pt idx="13">
                        <c:v>-1.25437686132682</c:v>
                      </c:pt>
                      <c:pt idx="14">
                        <c:v>-0.97362504454963505</c:v>
                      </c:pt>
                      <c:pt idx="15">
                        <c:v>-0.69005797903855604</c:v>
                      </c:pt>
                      <c:pt idx="16">
                        <c:v>-0.111532200121474</c:v>
                      </c:pt>
                      <c:pt idx="17">
                        <c:v>-0.40245726147168198</c:v>
                      </c:pt>
                      <c:pt idx="18">
                        <c:v>0.452539030732169</c:v>
                      </c:pt>
                      <c:pt idx="19">
                        <c:v>0.58517904728796599</c:v>
                      </c:pt>
                      <c:pt idx="20">
                        <c:v>1.1110007158044899</c:v>
                      </c:pt>
                      <c:pt idx="21">
                        <c:v>0.93656376818535103</c:v>
                      </c:pt>
                      <c:pt idx="22">
                        <c:v>0.78770461644921896</c:v>
                      </c:pt>
                      <c:pt idx="23">
                        <c:v>0.48298464076424402</c:v>
                      </c:pt>
                      <c:pt idx="24">
                        <c:v>0.57977853290435599</c:v>
                      </c:pt>
                      <c:pt idx="25">
                        <c:v>-0.47657901710636003</c:v>
                      </c:pt>
                      <c:pt idx="26">
                        <c:v>-0.70450352766647495</c:v>
                      </c:pt>
                      <c:pt idx="27">
                        <c:v>-0.49187620031693802</c:v>
                      </c:pt>
                      <c:pt idx="28">
                        <c:v>0.84371326321138396</c:v>
                      </c:pt>
                      <c:pt idx="29">
                        <c:v>0.81240480038945895</c:v>
                      </c:pt>
                      <c:pt idx="30">
                        <c:v>0.37540102295156402</c:v>
                      </c:pt>
                      <c:pt idx="31">
                        <c:v>0.602864869729274</c:v>
                      </c:pt>
                      <c:pt idx="32">
                        <c:v>0.15303758508753201</c:v>
                      </c:pt>
                      <c:pt idx="33">
                        <c:v>0.66710554705514402</c:v>
                      </c:pt>
                      <c:pt idx="34">
                        <c:v>0.98452679554907296</c:v>
                      </c:pt>
                      <c:pt idx="35">
                        <c:v>0.52818633768924905</c:v>
                      </c:pt>
                      <c:pt idx="36">
                        <c:v>0.80834802410140605</c:v>
                      </c:pt>
                      <c:pt idx="37">
                        <c:v>0.87936498745216296</c:v>
                      </c:pt>
                      <c:pt idx="38">
                        <c:v>0.92235269279694898</c:v>
                      </c:pt>
                      <c:pt idx="39">
                        <c:v>1.74996321646063</c:v>
                      </c:pt>
                      <c:pt idx="40">
                        <c:v>3.3696143820204698</c:v>
                      </c:pt>
                      <c:pt idx="41">
                        <c:v>3.26401584256018</c:v>
                      </c:pt>
                      <c:pt idx="42">
                        <c:v>1.3993089974658199</c:v>
                      </c:pt>
                      <c:pt idx="43">
                        <c:v>1.4553000281064199</c:v>
                      </c:pt>
                      <c:pt idx="44">
                        <c:v>1.7030100483423201</c:v>
                      </c:pt>
                      <c:pt idx="45">
                        <c:v>0.263346454767316</c:v>
                      </c:pt>
                      <c:pt idx="46">
                        <c:v>-0.29438373389189099</c:v>
                      </c:pt>
                      <c:pt idx="47">
                        <c:v>-0.73829828623024696</c:v>
                      </c:pt>
                      <c:pt idx="48">
                        <c:v>-1.00242150264398</c:v>
                      </c:pt>
                      <c:pt idx="49">
                        <c:v>-1.44017153870618</c:v>
                      </c:pt>
                      <c:pt idx="50">
                        <c:v>-2.3095553683447201</c:v>
                      </c:pt>
                      <c:pt idx="51">
                        <c:v>-3.1210212292592101</c:v>
                      </c:pt>
                      <c:pt idx="52">
                        <c:v>-3.5148239145994502</c:v>
                      </c:pt>
                      <c:pt idx="53">
                        <c:v>-16.081187985524402</c:v>
                      </c:pt>
                      <c:pt idx="54">
                        <c:v>-5.1544741990412604</c:v>
                      </c:pt>
                      <c:pt idx="55">
                        <c:v>-3.1947583407832099</c:v>
                      </c:pt>
                      <c:pt idx="56">
                        <c:v>-1.9747261671482199</c:v>
                      </c:pt>
                      <c:pt idx="57">
                        <c:v>-0.11165311232161899</c:v>
                      </c:pt>
                      <c:pt idx="58">
                        <c:v>0.192382011490281</c:v>
                      </c:pt>
                      <c:pt idx="59">
                        <c:v>1.7819556257129501</c:v>
                      </c:pt>
                      <c:pt idx="60">
                        <c:v>4.5349386529626399</c:v>
                      </c:pt>
                      <c:pt idx="61">
                        <c:v>6.5716497422531601</c:v>
                      </c:pt>
                      <c:pt idx="62">
                        <c:v>7.5335769719497403</c:v>
                      </c:pt>
                      <c:pt idx="63">
                        <c:v>7.1582344687465103</c:v>
                      </c:pt>
                      <c:pt idx="64">
                        <c:v>7.0622745208570397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2F-405A-BFD2-328A47979E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2F-405A-BFD2-328A47979E0B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8</xdr:col>
      <xdr:colOff>19050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99621-8389-411D-9702-46BCDFB8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0B03A-B19D-460F-BD19-F83AADFB7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85725</xdr:rowOff>
    </xdr:from>
    <xdr:to>
      <xdr:col>16</xdr:col>
      <xdr:colOff>304800</xdr:colOff>
      <xdr:row>33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595436-0738-44AE-A484-1319651E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18</xdr:row>
      <xdr:rowOff>95250</xdr:rowOff>
    </xdr:from>
    <xdr:to>
      <xdr:col>7</xdr:col>
      <xdr:colOff>539750</xdr:colOff>
      <xdr:row>33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27A188-1950-4814-B676-5AA6F6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DBD-B899-45E4-A745-21EDF3A192DD}">
  <dimension ref="A1:AE66"/>
  <sheetViews>
    <sheetView tabSelected="1" zoomScaleNormal="100" workbookViewId="0">
      <selection activeCell="C8" sqref="C8"/>
    </sheetView>
  </sheetViews>
  <sheetFormatPr defaultRowHeight="14.5" x14ac:dyDescent="0.35"/>
  <cols>
    <col min="7" max="8" width="8.7265625" style="3"/>
    <col min="9" max="9" width="11.453125" style="3" bestFit="1" customWidth="1"/>
    <col min="12" max="12" width="60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32</v>
      </c>
      <c r="L1" t="s">
        <v>6</v>
      </c>
      <c r="AA1" t="s">
        <v>7</v>
      </c>
      <c r="AB1" t="s">
        <v>0</v>
      </c>
      <c r="AC1" t="s">
        <v>8</v>
      </c>
      <c r="AD1" t="s">
        <v>9</v>
      </c>
      <c r="AE1" t="s">
        <v>2</v>
      </c>
    </row>
    <row r="2" spans="1:31" x14ac:dyDescent="0.35">
      <c r="A2" s="1">
        <v>39083</v>
      </c>
      <c r="B2">
        <v>2.0827231418375098</v>
      </c>
      <c r="C2">
        <v>2.0787157738820898</v>
      </c>
      <c r="D2">
        <v>3.5470207273894799E-2</v>
      </c>
      <c r="E2">
        <v>1.44892768636009</v>
      </c>
      <c r="F2">
        <v>1.04188792168816</v>
      </c>
      <c r="G2" s="3">
        <v>4.7536143220917593</v>
      </c>
      <c r="H2" s="3">
        <v>7.03</v>
      </c>
      <c r="I2" s="3">
        <f>B2+G2</f>
        <v>6.8363374639292687</v>
      </c>
      <c r="L2" t="s">
        <v>10</v>
      </c>
    </row>
    <row r="3" spans="1:31" x14ac:dyDescent="0.35">
      <c r="A3" s="1">
        <v>39173</v>
      </c>
      <c r="B3">
        <v>2.4142349975430699</v>
      </c>
      <c r="C3">
        <v>2.3450185583867902</v>
      </c>
      <c r="D3">
        <v>0.104709960217875</v>
      </c>
      <c r="E3">
        <v>1.4169217276094099</v>
      </c>
      <c r="F3">
        <v>1.0620809712717501</v>
      </c>
      <c r="G3" s="3">
        <v>2.9995205353107619</v>
      </c>
      <c r="H3" s="3">
        <v>7.2066666666666661</v>
      </c>
      <c r="I3" s="3">
        <f t="shared" ref="I3:I66" si="0">B3+G3</f>
        <v>5.4137555328538323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31" x14ac:dyDescent="0.35">
      <c r="A4" s="1">
        <v>39264</v>
      </c>
      <c r="B4">
        <v>2.6466774001403102</v>
      </c>
      <c r="C4">
        <v>2.5051703083843999</v>
      </c>
      <c r="D4">
        <v>0.17942462327630401</v>
      </c>
      <c r="E4">
        <v>1.2646343249646199</v>
      </c>
      <c r="F4">
        <v>0.78647655086413304</v>
      </c>
      <c r="G4" s="3">
        <v>3.6608431896063549</v>
      </c>
      <c r="H4" s="3">
        <v>7.2633333333333328</v>
      </c>
      <c r="I4" s="3">
        <f t="shared" si="0"/>
        <v>6.3075205897466651</v>
      </c>
      <c r="L4">
        <v>0.55146734127013197</v>
      </c>
      <c r="M4">
        <v>9.3748526182261996E-2</v>
      </c>
      <c r="N4">
        <v>-0.31598744140121299</v>
      </c>
      <c r="O4">
        <v>0.51732150199128402</v>
      </c>
      <c r="P4">
        <v>2.5000000000000001E-2</v>
      </c>
      <c r="Q4">
        <v>2.8457688480700298</v>
      </c>
      <c r="R4">
        <v>1.14198891208419</v>
      </c>
      <c r="S4">
        <v>0.58662803426844701</v>
      </c>
      <c r="T4">
        <v>0</v>
      </c>
      <c r="U4">
        <v>0.98486428990736097</v>
      </c>
      <c r="V4">
        <v>0.64521586745239401</v>
      </c>
    </row>
    <row r="5" spans="1:31" x14ac:dyDescent="0.35">
      <c r="A5" s="1">
        <v>39356</v>
      </c>
      <c r="B5">
        <v>2.7750107059276901</v>
      </c>
      <c r="C5">
        <v>2.5804920572844199</v>
      </c>
      <c r="D5">
        <v>0.23357622831868899</v>
      </c>
      <c r="E5">
        <v>0.92854522126776795</v>
      </c>
      <c r="F5">
        <v>0.76582790882503804</v>
      </c>
      <c r="G5" s="3">
        <v>4.1560008273135329</v>
      </c>
      <c r="H5" s="3">
        <v>7.4333333333333336</v>
      </c>
      <c r="I5" s="3">
        <f t="shared" si="0"/>
        <v>6.9310115332412234</v>
      </c>
      <c r="J5">
        <f>H5-AVERAGE(G2:G5)</f>
        <v>3.5408386147527313</v>
      </c>
      <c r="K5">
        <f>CORREL(E5:E66,J5:J66)</f>
        <v>-0.14877151899373753</v>
      </c>
    </row>
    <row r="6" spans="1:31" x14ac:dyDescent="0.35">
      <c r="A6" s="1">
        <v>39448</v>
      </c>
      <c r="B6">
        <v>2.6832123440604101</v>
      </c>
      <c r="C6">
        <v>2.5029516037075599</v>
      </c>
      <c r="D6">
        <v>0.21814469020247099</v>
      </c>
      <c r="E6">
        <v>0.244359345048451</v>
      </c>
      <c r="F6">
        <v>0.88182348648125197</v>
      </c>
      <c r="G6" s="3">
        <v>4.9501587922693657</v>
      </c>
      <c r="H6" s="3">
        <v>7.5066666666666668</v>
      </c>
      <c r="I6" s="3">
        <f t="shared" si="0"/>
        <v>7.6333711363297763</v>
      </c>
      <c r="J6">
        <f t="shared" ref="J6:J66" si="1">H6-AVERAGE(G3:G6)</f>
        <v>3.565035830541663</v>
      </c>
    </row>
    <row r="7" spans="1:31" x14ac:dyDescent="0.35">
      <c r="A7" s="1">
        <v>39539</v>
      </c>
      <c r="B7">
        <v>2.79435210567837</v>
      </c>
      <c r="C7">
        <v>2.5285438414531498</v>
      </c>
      <c r="D7">
        <v>0.30407957076597902</v>
      </c>
      <c r="E7">
        <v>0.331469680696728</v>
      </c>
      <c r="F7">
        <v>0.1772974424945</v>
      </c>
      <c r="G7" s="3">
        <v>5.4797323314526034</v>
      </c>
      <c r="H7" s="3">
        <v>7.5333333333333341</v>
      </c>
      <c r="I7" s="3">
        <f t="shared" si="0"/>
        <v>8.2740844371309734</v>
      </c>
      <c r="J7">
        <f t="shared" si="1"/>
        <v>2.97164954817287</v>
      </c>
    </row>
    <row r="8" spans="1:31" x14ac:dyDescent="0.35">
      <c r="A8" s="1">
        <v>39630</v>
      </c>
      <c r="B8">
        <v>2.7934507186456901</v>
      </c>
      <c r="C8">
        <v>2.5055261640499</v>
      </c>
      <c r="D8">
        <v>0.325847472244363</v>
      </c>
      <c r="E8">
        <v>9.0199350015382193E-2</v>
      </c>
      <c r="F8">
        <v>0.26330318237865002</v>
      </c>
      <c r="G8" s="3">
        <v>5.4937591115338247</v>
      </c>
      <c r="H8" s="3">
        <v>8.0766666666666662</v>
      </c>
      <c r="I8" s="3">
        <f t="shared" si="0"/>
        <v>8.2872098301795152</v>
      </c>
      <c r="J8">
        <f t="shared" si="1"/>
        <v>3.0567539010243348</v>
      </c>
    </row>
    <row r="9" spans="1:31" x14ac:dyDescent="0.35">
      <c r="A9" s="1">
        <v>39722</v>
      </c>
      <c r="B9">
        <v>2.2030448984778901</v>
      </c>
      <c r="C9">
        <v>2.1940019391355601</v>
      </c>
      <c r="D9">
        <v>4.2250736635775402E-2</v>
      </c>
      <c r="E9">
        <v>-1.52958144027843</v>
      </c>
      <c r="F9">
        <v>0.45093733278616999</v>
      </c>
      <c r="G9" s="3">
        <v>5.3670875063546184</v>
      </c>
      <c r="H9" s="3">
        <v>8.22842105263158</v>
      </c>
      <c r="I9" s="3">
        <f t="shared" si="0"/>
        <v>7.570132404832508</v>
      </c>
      <c r="J9">
        <f t="shared" si="1"/>
        <v>2.9057366172289765</v>
      </c>
    </row>
    <row r="10" spans="1:31" x14ac:dyDescent="0.35">
      <c r="A10" s="1">
        <v>39814</v>
      </c>
      <c r="B10">
        <v>0.54938873001347699</v>
      </c>
      <c r="C10">
        <v>1.3292263337539501</v>
      </c>
      <c r="D10">
        <v>-0.75971881930526997</v>
      </c>
      <c r="E10">
        <v>-5.4066795518356203</v>
      </c>
      <c r="F10">
        <v>1.4958598168567201</v>
      </c>
      <c r="G10" s="3">
        <v>5.9984268631781523</v>
      </c>
      <c r="H10" s="3">
        <v>7.6224731182795704</v>
      </c>
      <c r="I10" s="3">
        <f t="shared" si="0"/>
        <v>6.5478155931916291</v>
      </c>
      <c r="J10">
        <f t="shared" si="1"/>
        <v>2.0377216651497703</v>
      </c>
    </row>
    <row r="11" spans="1:31" x14ac:dyDescent="0.35">
      <c r="A11" s="1">
        <v>39904</v>
      </c>
      <c r="B11">
        <v>-0.45366806100840101</v>
      </c>
      <c r="C11">
        <v>0.89112465677720398</v>
      </c>
      <c r="D11">
        <v>-1.3313049133242201</v>
      </c>
      <c r="E11">
        <v>-6.2851164929479602</v>
      </c>
      <c r="F11">
        <v>0.75229205925029696</v>
      </c>
      <c r="G11" s="3">
        <v>4.652897192632488</v>
      </c>
      <c r="H11" s="3">
        <v>5.6785106382978716</v>
      </c>
      <c r="I11" s="3">
        <f t="shared" si="0"/>
        <v>4.1992291316240866</v>
      </c>
      <c r="J11">
        <f t="shared" si="1"/>
        <v>0.3004679698731012</v>
      </c>
    </row>
    <row r="12" spans="1:31" x14ac:dyDescent="0.35">
      <c r="A12" s="1">
        <v>39995</v>
      </c>
      <c r="B12">
        <v>-0.26596498978330801</v>
      </c>
      <c r="C12">
        <v>1.1040346176957501</v>
      </c>
      <c r="D12">
        <v>-1.3532892595733801</v>
      </c>
      <c r="E12">
        <v>-3.8392920593867101</v>
      </c>
      <c r="F12">
        <v>2.3532102187820099E-2</v>
      </c>
      <c r="G12" s="3">
        <v>3.1513199882166938</v>
      </c>
      <c r="H12" s="3">
        <v>4.5436842105263153</v>
      </c>
      <c r="I12" s="3">
        <f t="shared" si="0"/>
        <v>2.8853549984333857</v>
      </c>
      <c r="J12">
        <f t="shared" si="1"/>
        <v>-0.24874867706917314</v>
      </c>
    </row>
    <row r="13" spans="1:31" x14ac:dyDescent="0.35">
      <c r="A13" s="1">
        <v>40087</v>
      </c>
      <c r="B13">
        <v>-0.21040549933399999</v>
      </c>
      <c r="C13">
        <v>1.16922976978974</v>
      </c>
      <c r="D13">
        <v>-1.3619381462965201</v>
      </c>
      <c r="E13">
        <v>-2.6575928550150798</v>
      </c>
      <c r="F13">
        <v>0.42199417305098702</v>
      </c>
      <c r="G13" s="3">
        <v>3.6043345944380518</v>
      </c>
      <c r="H13" s="3">
        <v>4.5019999999999998</v>
      </c>
      <c r="I13" s="3">
        <f t="shared" si="0"/>
        <v>3.3939290951040517</v>
      </c>
      <c r="J13">
        <f t="shared" si="1"/>
        <v>0.15025534038365329</v>
      </c>
    </row>
    <row r="14" spans="1:31" x14ac:dyDescent="0.35">
      <c r="A14" s="1">
        <v>40179</v>
      </c>
      <c r="B14">
        <v>-1.8461456801475599E-2</v>
      </c>
      <c r="C14">
        <v>1.08227730391298</v>
      </c>
      <c r="D14">
        <v>-1.08435772520259</v>
      </c>
      <c r="E14">
        <v>-1.55357363222606</v>
      </c>
      <c r="F14">
        <v>0.218188015771624</v>
      </c>
      <c r="G14" s="3">
        <v>6.1658753221655038</v>
      </c>
      <c r="H14" s="3">
        <v>4.503010752688172</v>
      </c>
      <c r="I14" s="3">
        <f t="shared" si="0"/>
        <v>6.1474138653640278</v>
      </c>
      <c r="J14">
        <f t="shared" si="1"/>
        <v>0.10940397832498761</v>
      </c>
    </row>
    <row r="15" spans="1:31" x14ac:dyDescent="0.35">
      <c r="A15" s="1">
        <v>40269</v>
      </c>
      <c r="B15">
        <v>-0.15480865528917701</v>
      </c>
      <c r="C15">
        <v>1.2239758710442901</v>
      </c>
      <c r="D15">
        <v>-1.36025878238896</v>
      </c>
      <c r="E15">
        <v>-1.25437686132682</v>
      </c>
      <c r="F15">
        <v>0.83311709322715199</v>
      </c>
      <c r="G15" s="3">
        <v>2.7519030100945141</v>
      </c>
      <c r="H15" s="3">
        <v>4.5030851063829793</v>
      </c>
      <c r="I15" s="3">
        <f t="shared" si="0"/>
        <v>2.5970943548053369</v>
      </c>
      <c r="J15">
        <f t="shared" si="1"/>
        <v>0.58472687765428821</v>
      </c>
    </row>
    <row r="16" spans="1:31" x14ac:dyDescent="0.35">
      <c r="A16" s="1">
        <v>40360</v>
      </c>
      <c r="B16">
        <v>-0.18914665424584901</v>
      </c>
      <c r="C16">
        <v>1.32879036710348</v>
      </c>
      <c r="D16">
        <v>-1.4978248355789601</v>
      </c>
      <c r="E16">
        <v>-0.97362504454963505</v>
      </c>
      <c r="F16">
        <v>1.0760370053045301</v>
      </c>
      <c r="G16" s="3">
        <v>2.2903256690671951</v>
      </c>
      <c r="H16" s="3">
        <v>4.5028421052631584</v>
      </c>
      <c r="I16" s="3">
        <f t="shared" si="0"/>
        <v>2.1011790148213461</v>
      </c>
      <c r="J16">
        <f t="shared" si="1"/>
        <v>0.7997324563218422</v>
      </c>
    </row>
    <row r="17" spans="1:20" x14ac:dyDescent="0.35">
      <c r="A17" s="1">
        <v>40452</v>
      </c>
      <c r="B17">
        <v>-9.3627534116047503E-2</v>
      </c>
      <c r="C17">
        <v>1.38416152154122</v>
      </c>
      <c r="D17">
        <v>-1.45683878814583</v>
      </c>
      <c r="E17">
        <v>-0.69005797903855604</v>
      </c>
      <c r="F17">
        <v>1.07735938853795</v>
      </c>
      <c r="G17" s="3">
        <v>3.1103019143184918</v>
      </c>
      <c r="H17" s="3">
        <v>4.5019999999999998</v>
      </c>
      <c r="I17" s="3">
        <f t="shared" si="0"/>
        <v>3.0166743802024443</v>
      </c>
      <c r="J17">
        <f t="shared" si="1"/>
        <v>0.92239852108857345</v>
      </c>
    </row>
    <row r="18" spans="1:20" x14ac:dyDescent="0.35">
      <c r="A18" s="1">
        <v>40544</v>
      </c>
      <c r="B18">
        <v>0.25358831277298299</v>
      </c>
      <c r="C18">
        <v>1.3767128689597401</v>
      </c>
      <c r="D18">
        <v>-1.10228702932138</v>
      </c>
      <c r="E18">
        <v>-0.111532200121474</v>
      </c>
      <c r="F18">
        <v>1.00854443181367</v>
      </c>
      <c r="G18" s="3">
        <v>4.8789384281731962</v>
      </c>
      <c r="H18" s="3">
        <v>4.5006451612903229</v>
      </c>
      <c r="I18" s="3">
        <f t="shared" si="0"/>
        <v>5.1325267409461794</v>
      </c>
      <c r="J18">
        <f t="shared" si="1"/>
        <v>1.2427779058769737</v>
      </c>
    </row>
    <row r="19" spans="1:20" x14ac:dyDescent="0.35">
      <c r="A19" s="1">
        <v>40634</v>
      </c>
      <c r="B19">
        <v>0.114945670797275</v>
      </c>
      <c r="C19">
        <v>1.49795541860794</v>
      </c>
      <c r="D19">
        <v>-1.36033712886291</v>
      </c>
      <c r="E19">
        <v>-0.40245726147168198</v>
      </c>
      <c r="F19">
        <v>1.1990721940608899</v>
      </c>
      <c r="G19" s="3">
        <v>2.4110291956751069</v>
      </c>
      <c r="H19" s="3">
        <v>4.4995744680851057</v>
      </c>
      <c r="I19" s="3">
        <f t="shared" si="0"/>
        <v>2.525974866472382</v>
      </c>
      <c r="J19">
        <f t="shared" si="1"/>
        <v>1.3269256662766082</v>
      </c>
    </row>
    <row r="20" spans="1:20" x14ac:dyDescent="0.35">
      <c r="A20" s="1">
        <v>40725</v>
      </c>
      <c r="B20">
        <v>0.40319881285903297</v>
      </c>
      <c r="C20">
        <v>1.7332185743040101</v>
      </c>
      <c r="D20">
        <v>-1.3037862675771399</v>
      </c>
      <c r="E20">
        <v>0.452539030732169</v>
      </c>
      <c r="F20">
        <v>0.84061086858238798</v>
      </c>
      <c r="G20" s="3">
        <v>2.3311584027341898</v>
      </c>
      <c r="H20" s="3">
        <v>4.4976842105263151</v>
      </c>
      <c r="I20" s="3">
        <f t="shared" si="0"/>
        <v>2.734357215593223</v>
      </c>
      <c r="J20">
        <f t="shared" si="1"/>
        <v>1.3148272253010691</v>
      </c>
      <c r="L20" t="s">
        <v>22</v>
      </c>
      <c r="P20" t="s">
        <v>23</v>
      </c>
    </row>
    <row r="21" spans="1:20" x14ac:dyDescent="0.35">
      <c r="A21" s="1">
        <v>40817</v>
      </c>
      <c r="B21">
        <v>0.697610550381631</v>
      </c>
      <c r="C21">
        <v>1.79265465886841</v>
      </c>
      <c r="D21">
        <v>-1.06791100727393</v>
      </c>
      <c r="E21">
        <v>0.58517904728796599</v>
      </c>
      <c r="F21">
        <v>0.44632148807243899</v>
      </c>
      <c r="G21" s="3">
        <v>3.5098124862678941</v>
      </c>
      <c r="H21" s="3">
        <v>4.4976842105263151</v>
      </c>
      <c r="I21" s="3">
        <f t="shared" si="0"/>
        <v>4.2074230366495247</v>
      </c>
      <c r="J21">
        <f t="shared" si="1"/>
        <v>1.2149495823137184</v>
      </c>
      <c r="L21" t="s">
        <v>24</v>
      </c>
      <c r="M21">
        <v>0.16748604614031901</v>
      </c>
      <c r="P21">
        <v>-266.243913238282</v>
      </c>
    </row>
    <row r="22" spans="1:20" x14ac:dyDescent="0.35">
      <c r="A22" s="1">
        <v>40909</v>
      </c>
      <c r="B22">
        <v>1.2153580023437101</v>
      </c>
      <c r="C22">
        <v>1.7667290879128801</v>
      </c>
      <c r="D22">
        <v>-0.52463038628228698</v>
      </c>
      <c r="E22">
        <v>1.1110007158044899</v>
      </c>
      <c r="F22">
        <v>-7.7716499418688703E-2</v>
      </c>
      <c r="G22" s="3">
        <v>5.1707672369560642</v>
      </c>
      <c r="H22" s="3">
        <v>4.4997849462365593</v>
      </c>
      <c r="I22" s="3">
        <f t="shared" si="0"/>
        <v>6.3861252392997745</v>
      </c>
      <c r="J22">
        <f t="shared" si="1"/>
        <v>1.1440931158282455</v>
      </c>
      <c r="L22" t="s">
        <v>25</v>
      </c>
      <c r="M22">
        <v>0.12864430458791401</v>
      </c>
    </row>
    <row r="23" spans="1:20" x14ac:dyDescent="0.35">
      <c r="A23" s="1">
        <v>41000</v>
      </c>
      <c r="B23">
        <v>1.1101659474377801</v>
      </c>
      <c r="C23">
        <v>1.92558681365648</v>
      </c>
      <c r="D23">
        <v>-0.78627574244898801</v>
      </c>
      <c r="E23">
        <v>0.93656376818535103</v>
      </c>
      <c r="F23">
        <v>-8.5367355195002895E-2</v>
      </c>
      <c r="G23" s="3">
        <v>2.8624008384040782</v>
      </c>
      <c r="H23" s="3">
        <v>4.4997849462365593</v>
      </c>
      <c r="I23" s="3">
        <f t="shared" si="0"/>
        <v>3.9725667858418583</v>
      </c>
      <c r="J23">
        <f t="shared" si="1"/>
        <v>1.0312502051460029</v>
      </c>
    </row>
    <row r="24" spans="1:20" x14ac:dyDescent="0.35">
      <c r="A24" s="1">
        <v>41091</v>
      </c>
      <c r="B24">
        <v>1.1378977981329399</v>
      </c>
      <c r="C24">
        <v>1.98563227582887</v>
      </c>
      <c r="D24">
        <v>-0.81768052321840201</v>
      </c>
      <c r="E24">
        <v>0.78770461644921896</v>
      </c>
      <c r="F24">
        <v>-0.29736577315607698</v>
      </c>
      <c r="G24" s="3">
        <v>3.0548913384645271</v>
      </c>
      <c r="H24" s="3">
        <v>4.4996842105263157</v>
      </c>
      <c r="I24" s="3">
        <f t="shared" si="0"/>
        <v>4.192789136597467</v>
      </c>
      <c r="J24">
        <f t="shared" si="1"/>
        <v>0.85021623550317482</v>
      </c>
    </row>
    <row r="25" spans="1:20" x14ac:dyDescent="0.35">
      <c r="A25" s="1">
        <v>41183</v>
      </c>
      <c r="B25">
        <v>0.86011754967527998</v>
      </c>
      <c r="C25">
        <v>2.1350847939028199</v>
      </c>
      <c r="D25">
        <v>-1.24265121976382</v>
      </c>
      <c r="E25">
        <v>0.48298464076424402</v>
      </c>
      <c r="F25">
        <v>0.37017266653257902</v>
      </c>
      <c r="G25" s="3">
        <v>2.0041130546772261</v>
      </c>
      <c r="H25" s="3">
        <v>4.5001052631578951</v>
      </c>
      <c r="I25" s="3">
        <f t="shared" si="0"/>
        <v>2.8642306043525059</v>
      </c>
      <c r="J25">
        <f t="shared" si="1"/>
        <v>1.2270621460324209</v>
      </c>
      <c r="L25" t="s">
        <v>26</v>
      </c>
    </row>
    <row r="26" spans="1:20" x14ac:dyDescent="0.35">
      <c r="A26" s="1">
        <v>41275</v>
      </c>
      <c r="B26">
        <v>1.16230807014044</v>
      </c>
      <c r="C26">
        <v>2.0716021288816102</v>
      </c>
      <c r="D26">
        <v>-0.87793888949112997</v>
      </c>
      <c r="E26">
        <v>0.57977853290435599</v>
      </c>
      <c r="F26">
        <v>0.26027029503146798</v>
      </c>
      <c r="G26" s="3">
        <v>3.8949479744332161</v>
      </c>
      <c r="H26" s="3">
        <v>4.3669892473118281</v>
      </c>
      <c r="I26" s="3">
        <f t="shared" si="0"/>
        <v>5.0572560445736556</v>
      </c>
      <c r="J26">
        <f t="shared" si="1"/>
        <v>1.412900945817066</v>
      </c>
      <c r="L26" t="s">
        <v>27</v>
      </c>
    </row>
    <row r="27" spans="1:20" x14ac:dyDescent="0.35">
      <c r="A27" s="1">
        <v>41365</v>
      </c>
      <c r="B27">
        <v>0.76785824819167703</v>
      </c>
      <c r="C27">
        <v>2.0212254703618302</v>
      </c>
      <c r="D27">
        <v>-1.2227745394189</v>
      </c>
      <c r="E27">
        <v>-0.47657901710636003</v>
      </c>
      <c r="F27">
        <v>0.38049108574956098</v>
      </c>
      <c r="G27" s="3">
        <v>2.5326502966600768</v>
      </c>
      <c r="H27" s="3">
        <v>4.0006382978723396</v>
      </c>
      <c r="I27" s="3">
        <f t="shared" si="0"/>
        <v>3.3005085448517537</v>
      </c>
      <c r="J27">
        <f t="shared" si="1"/>
        <v>1.1289876318135779</v>
      </c>
      <c r="L27">
        <v>1648.23269724845</v>
      </c>
      <c r="M27">
        <v>1647.7805072823301</v>
      </c>
      <c r="N27">
        <v>1647.32843630548</v>
      </c>
      <c r="O27">
        <v>0.45218996611993101</v>
      </c>
      <c r="P27">
        <v>0.452070976851005</v>
      </c>
      <c r="Q27">
        <v>0.45203611539719202</v>
      </c>
      <c r="R27">
        <v>0</v>
      </c>
      <c r="S27">
        <v>0</v>
      </c>
      <c r="T27">
        <v>0</v>
      </c>
    </row>
    <row r="28" spans="1:20" x14ac:dyDescent="0.35">
      <c r="A28" s="1">
        <v>41456</v>
      </c>
      <c r="B28">
        <v>0.38844957951276199</v>
      </c>
      <c r="C28">
        <v>2.1308655155719598</v>
      </c>
      <c r="D28">
        <v>-1.7101637733691</v>
      </c>
      <c r="E28">
        <v>-0.70450352766647495</v>
      </c>
      <c r="F28">
        <v>1.09809367341352</v>
      </c>
      <c r="G28" s="3">
        <v>1.408782329191016</v>
      </c>
      <c r="H28" s="3">
        <v>3.932526315789473</v>
      </c>
      <c r="I28" s="3">
        <f t="shared" si="0"/>
        <v>1.797231908703778</v>
      </c>
      <c r="J28">
        <f t="shared" si="1"/>
        <v>1.4724029020490894</v>
      </c>
    </row>
    <row r="29" spans="1:20" x14ac:dyDescent="0.35">
      <c r="A29" s="1">
        <v>41548</v>
      </c>
      <c r="B29">
        <v>0.58618955280841301</v>
      </c>
      <c r="C29">
        <v>2.1156287573263701</v>
      </c>
      <c r="D29">
        <v>-1.49741766098341</v>
      </c>
      <c r="E29">
        <v>-0.49187620031693802</v>
      </c>
      <c r="F29">
        <v>0.44729978285309102</v>
      </c>
      <c r="G29" s="3">
        <v>2.576328723736343</v>
      </c>
      <c r="H29" s="3">
        <v>3.567473684210527</v>
      </c>
      <c r="I29" s="3">
        <f t="shared" si="0"/>
        <v>3.1625182765447559</v>
      </c>
      <c r="J29">
        <f t="shared" si="1"/>
        <v>0.96429635320536367</v>
      </c>
      <c r="L29" t="s">
        <v>28</v>
      </c>
    </row>
    <row r="30" spans="1:20" x14ac:dyDescent="0.35">
      <c r="A30" s="1">
        <v>41640</v>
      </c>
      <c r="B30">
        <v>1.7118981933501101</v>
      </c>
      <c r="C30">
        <v>1.95338361728629</v>
      </c>
      <c r="D30">
        <v>-0.211919575805225</v>
      </c>
      <c r="E30">
        <v>0.84371326321138396</v>
      </c>
      <c r="F30">
        <v>-1.23853589345378</v>
      </c>
      <c r="G30" s="3">
        <v>5.6287894508272318</v>
      </c>
      <c r="H30" s="3">
        <v>3.500322580645161</v>
      </c>
      <c r="I30" s="3">
        <f t="shared" si="0"/>
        <v>7.3406876441773417</v>
      </c>
      <c r="J30">
        <f t="shared" si="1"/>
        <v>0.46368488054149415</v>
      </c>
      <c r="L30">
        <v>0.74148077238902699</v>
      </c>
      <c r="M30">
        <v>0.2</v>
      </c>
      <c r="N30">
        <v>0</v>
      </c>
      <c r="O30">
        <v>0.2</v>
      </c>
      <c r="P30">
        <v>0.2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">
        <v>41730</v>
      </c>
      <c r="B31">
        <v>1.3663510876346101</v>
      </c>
      <c r="C31">
        <v>2.1344597005526098</v>
      </c>
      <c r="D31">
        <v>-0.73580204968601404</v>
      </c>
      <c r="E31">
        <v>0.81240480038945895</v>
      </c>
      <c r="F31">
        <v>-1.02749430143631</v>
      </c>
      <c r="G31" s="3">
        <v>2.6440056847855549</v>
      </c>
      <c r="H31" s="3">
        <v>3.3639361702127659</v>
      </c>
      <c r="I31" s="3">
        <f t="shared" si="0"/>
        <v>4.010356772420165</v>
      </c>
      <c r="J31">
        <f t="shared" si="1"/>
        <v>0.29945962307772955</v>
      </c>
      <c r="L31">
        <v>0.2</v>
      </c>
      <c r="M31">
        <v>0.2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">
        <v>41821</v>
      </c>
      <c r="B32">
        <v>1.12017084705366</v>
      </c>
      <c r="C32">
        <v>2.1395712430859</v>
      </c>
      <c r="D32">
        <v>-0.987016465974349</v>
      </c>
      <c r="E32">
        <v>0.37540102295156402</v>
      </c>
      <c r="F32">
        <v>-1.4057871733056799</v>
      </c>
      <c r="G32" s="3">
        <v>2.413341445658967</v>
      </c>
      <c r="H32" s="3">
        <v>3.0009574468085098</v>
      </c>
      <c r="I32" s="3">
        <f t="shared" si="0"/>
        <v>3.533512292712627</v>
      </c>
      <c r="J32">
        <f t="shared" si="1"/>
        <v>-0.31465887944351412</v>
      </c>
      <c r="L32">
        <v>0</v>
      </c>
      <c r="M32">
        <v>0</v>
      </c>
      <c r="N32">
        <v>0.2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">
        <v>41913</v>
      </c>
      <c r="B33">
        <v>0.97394540389664497</v>
      </c>
      <c r="C33">
        <v>2.21136508271884</v>
      </c>
      <c r="D33">
        <v>-1.20394909802118</v>
      </c>
      <c r="E33">
        <v>0.602864869729274</v>
      </c>
      <c r="F33">
        <v>-1.2123767138460799</v>
      </c>
      <c r="G33" s="3">
        <v>2.4942553251926509</v>
      </c>
      <c r="H33" s="3">
        <v>3.001789473684211</v>
      </c>
      <c r="I33" s="3">
        <f t="shared" si="0"/>
        <v>3.468200729089296</v>
      </c>
      <c r="J33">
        <f t="shared" si="1"/>
        <v>-0.29330850293189004</v>
      </c>
      <c r="L33">
        <v>0.2</v>
      </c>
      <c r="M33">
        <v>0</v>
      </c>
      <c r="N33">
        <v>0</v>
      </c>
      <c r="O33">
        <v>0.20957907372027801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42005</v>
      </c>
      <c r="B34">
        <v>0.50784282243413703</v>
      </c>
      <c r="C34">
        <v>2.2628254191447899</v>
      </c>
      <c r="D34">
        <v>-1.7207331271762301</v>
      </c>
      <c r="E34">
        <v>0.15303758508753201</v>
      </c>
      <c r="F34">
        <v>0.16664769855764999</v>
      </c>
      <c r="G34" s="3">
        <v>1.977102127062347</v>
      </c>
      <c r="H34" s="3">
        <v>3.001827956989247</v>
      </c>
      <c r="I34" s="3">
        <f t="shared" si="0"/>
        <v>2.4849449494964841</v>
      </c>
      <c r="J34">
        <f t="shared" si="1"/>
        <v>0.61965181131436697</v>
      </c>
      <c r="L34">
        <v>0.2</v>
      </c>
      <c r="M34">
        <v>0</v>
      </c>
      <c r="N34">
        <v>0</v>
      </c>
      <c r="O34">
        <v>0.2</v>
      </c>
      <c r="P34">
        <v>0.2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42095</v>
      </c>
      <c r="B35">
        <v>0.69000954041444695</v>
      </c>
      <c r="C35">
        <v>2.3232989094382099</v>
      </c>
      <c r="D35">
        <v>-1.5981245902719601</v>
      </c>
      <c r="E35">
        <v>0.66710554705514402</v>
      </c>
      <c r="F35">
        <v>3.9200663700765803E-2</v>
      </c>
      <c r="G35" s="3">
        <v>2.4117936189585132</v>
      </c>
      <c r="H35" s="3">
        <v>3.0017021276595748</v>
      </c>
      <c r="I35" s="3">
        <f t="shared" si="0"/>
        <v>3.10180315937296</v>
      </c>
      <c r="J35">
        <f t="shared" si="1"/>
        <v>0.6775789984414553</v>
      </c>
      <c r="L35">
        <v>0</v>
      </c>
      <c r="M35">
        <v>0</v>
      </c>
      <c r="N35">
        <v>0</v>
      </c>
      <c r="O35">
        <v>0</v>
      </c>
      <c r="P35">
        <v>0</v>
      </c>
      <c r="Q35">
        <v>0.2</v>
      </c>
      <c r="R35">
        <v>0</v>
      </c>
      <c r="S35">
        <v>0</v>
      </c>
      <c r="T35">
        <v>0</v>
      </c>
    </row>
    <row r="36" spans="1:20" x14ac:dyDescent="0.35">
      <c r="A36" s="1">
        <v>42186</v>
      </c>
      <c r="B36">
        <v>0.88327567510523397</v>
      </c>
      <c r="C36">
        <v>2.4222918945671501</v>
      </c>
      <c r="D36">
        <v>-1.502353111586</v>
      </c>
      <c r="E36">
        <v>0.98452679554907296</v>
      </c>
      <c r="F36">
        <v>-0.134314771268673</v>
      </c>
      <c r="G36" s="3">
        <v>2.454338646773579</v>
      </c>
      <c r="H36" s="3">
        <v>3.0026315789473679</v>
      </c>
      <c r="I36" s="3">
        <f t="shared" si="0"/>
        <v>3.3376143218788128</v>
      </c>
      <c r="J36">
        <f t="shared" si="1"/>
        <v>0.66825914945059539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1.54100331769775</v>
      </c>
      <c r="S36">
        <v>0.2</v>
      </c>
      <c r="T36">
        <v>0</v>
      </c>
    </row>
    <row r="37" spans="1:20" x14ac:dyDescent="0.35">
      <c r="A37" s="1">
        <v>42278</v>
      </c>
      <c r="B37">
        <v>0.98982752213694702</v>
      </c>
      <c r="C37">
        <v>2.3393385491979002</v>
      </c>
      <c r="D37">
        <v>-1.3141034769717601</v>
      </c>
      <c r="E37">
        <v>0.52818633768924905</v>
      </c>
      <c r="F37">
        <v>-0.28581917153547098</v>
      </c>
      <c r="G37" s="3">
        <v>2.8073988714663272</v>
      </c>
      <c r="H37" s="3">
        <v>3.0431578947368418</v>
      </c>
      <c r="I37" s="3">
        <f t="shared" si="0"/>
        <v>3.7972263936032742</v>
      </c>
      <c r="J37">
        <f t="shared" si="1"/>
        <v>0.63049957867165007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</v>
      </c>
      <c r="S37">
        <v>0.2</v>
      </c>
      <c r="T37">
        <v>0</v>
      </c>
    </row>
    <row r="38" spans="1:20" x14ac:dyDescent="0.35">
      <c r="A38" s="1">
        <v>42370</v>
      </c>
      <c r="B38">
        <v>1.2649038733732201</v>
      </c>
      <c r="C38">
        <v>2.3060079297845699</v>
      </c>
      <c r="D38">
        <v>-1.0062009889148</v>
      </c>
      <c r="E38">
        <v>0.80834802410140605</v>
      </c>
      <c r="F38">
        <v>-0.44440043211881602</v>
      </c>
      <c r="G38" s="3">
        <v>3.124455097783962</v>
      </c>
      <c r="H38" s="3">
        <v>3.4926595744680848</v>
      </c>
      <c r="I38" s="3">
        <f t="shared" si="0"/>
        <v>4.3893589711571819</v>
      </c>
      <c r="J38">
        <f t="shared" si="1"/>
        <v>0.79316301572248937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</v>
      </c>
    </row>
    <row r="39" spans="1:20" x14ac:dyDescent="0.35">
      <c r="A39" s="1">
        <v>42461</v>
      </c>
      <c r="B39">
        <v>1.4563870034927799</v>
      </c>
      <c r="C39">
        <v>2.27869803343782</v>
      </c>
      <c r="D39">
        <v>-0.787821317122262</v>
      </c>
      <c r="E39">
        <v>0.87936498745216296</v>
      </c>
      <c r="F39">
        <v>-0.56787634515673702</v>
      </c>
      <c r="G39" s="3">
        <v>3.2597647506319438</v>
      </c>
      <c r="H39" s="3">
        <v>3.7569148936170209</v>
      </c>
      <c r="I39" s="3">
        <f t="shared" si="0"/>
        <v>4.7161517541247235</v>
      </c>
      <c r="J39">
        <f t="shared" si="1"/>
        <v>0.84542555195306823</v>
      </c>
    </row>
    <row r="40" spans="1:20" x14ac:dyDescent="0.35">
      <c r="A40" s="1">
        <v>42552</v>
      </c>
      <c r="B40">
        <v>1.4060579151889201</v>
      </c>
      <c r="C40">
        <v>2.3479590403774901</v>
      </c>
      <c r="D40">
        <v>-0.90636309784402203</v>
      </c>
      <c r="E40">
        <v>0.92235269279694898</v>
      </c>
      <c r="F40">
        <v>-0.11293731047407</v>
      </c>
      <c r="G40" s="3">
        <v>2.8092321945916821</v>
      </c>
      <c r="H40" s="3">
        <v>4.2618947368421054</v>
      </c>
      <c r="I40" s="3">
        <f t="shared" si="0"/>
        <v>4.2152901097806019</v>
      </c>
      <c r="J40">
        <f t="shared" si="1"/>
        <v>1.2616820082236266</v>
      </c>
    </row>
    <row r="41" spans="1:20" x14ac:dyDescent="0.35">
      <c r="A41" s="1">
        <v>42644</v>
      </c>
      <c r="B41">
        <v>2.0551667023054798</v>
      </c>
      <c r="C41">
        <v>2.3852600845196799</v>
      </c>
      <c r="D41">
        <v>-0.293990777079362</v>
      </c>
      <c r="E41">
        <v>1.74996321646063</v>
      </c>
      <c r="F41">
        <v>-0.21707614390097299</v>
      </c>
      <c r="G41" s="3">
        <v>3.9075190567076978</v>
      </c>
      <c r="H41" s="3">
        <v>5.08778947368421</v>
      </c>
      <c r="I41" s="3">
        <f t="shared" si="0"/>
        <v>5.9626857590131781</v>
      </c>
      <c r="J41">
        <f t="shared" si="1"/>
        <v>1.812546698755388</v>
      </c>
    </row>
    <row r="42" spans="1:20" x14ac:dyDescent="0.35">
      <c r="A42" s="1">
        <v>42736</v>
      </c>
      <c r="B42">
        <v>3.8919692321750201</v>
      </c>
      <c r="C42">
        <v>2.21629189606299</v>
      </c>
      <c r="D42">
        <v>1.7092224877315001</v>
      </c>
      <c r="E42">
        <v>3.3696143820204698</v>
      </c>
      <c r="F42">
        <v>-2.0177093560594299</v>
      </c>
      <c r="G42" s="3">
        <v>6.8064444936063229</v>
      </c>
      <c r="H42" s="3">
        <v>6.0398924731182797</v>
      </c>
      <c r="I42" s="3">
        <f t="shared" si="0"/>
        <v>10.698413725781343</v>
      </c>
      <c r="J42">
        <f t="shared" si="1"/>
        <v>1.8441523492338687</v>
      </c>
    </row>
    <row r="43" spans="1:20" x14ac:dyDescent="0.35">
      <c r="A43" s="1">
        <v>42826</v>
      </c>
      <c r="B43">
        <v>4.1690927626372103</v>
      </c>
      <c r="C43">
        <v>2.2263404319134499</v>
      </c>
      <c r="D43">
        <v>1.97644957406872</v>
      </c>
      <c r="E43">
        <v>3.26401584256018</v>
      </c>
      <c r="F43">
        <v>-2.2665460401694699</v>
      </c>
      <c r="G43" s="3">
        <v>5.6132840318900312</v>
      </c>
      <c r="H43" s="3">
        <v>6.646914893617021</v>
      </c>
      <c r="I43" s="3">
        <f t="shared" si="0"/>
        <v>9.7823767945272415</v>
      </c>
      <c r="J43">
        <f t="shared" si="1"/>
        <v>1.8627949494180873</v>
      </c>
    </row>
    <row r="44" spans="1:20" x14ac:dyDescent="0.35">
      <c r="A44" s="1">
        <v>42917</v>
      </c>
      <c r="B44">
        <v>3.0395447104903401</v>
      </c>
      <c r="C44">
        <v>2.2812235282459699</v>
      </c>
      <c r="D44">
        <v>0.79284912022439902</v>
      </c>
      <c r="E44">
        <v>1.3993089974658199</v>
      </c>
      <c r="F44">
        <v>-0.90718014936167901</v>
      </c>
      <c r="G44" s="3">
        <v>3.3432941732813188</v>
      </c>
      <c r="H44" s="3">
        <v>7.0015789473684196</v>
      </c>
      <c r="I44" s="3">
        <f t="shared" si="0"/>
        <v>6.382838883771659</v>
      </c>
      <c r="J44">
        <f t="shared" si="1"/>
        <v>2.083943508497077</v>
      </c>
    </row>
    <row r="45" spans="1:20" x14ac:dyDescent="0.35">
      <c r="A45" s="1">
        <v>43009</v>
      </c>
      <c r="B45">
        <v>2.7474387158340501</v>
      </c>
      <c r="C45">
        <v>2.4475154844821301</v>
      </c>
      <c r="D45">
        <v>0.336968116172288</v>
      </c>
      <c r="E45">
        <v>1.4553000281064199</v>
      </c>
      <c r="F45">
        <v>-0.49295869110395402</v>
      </c>
      <c r="G45" s="3">
        <v>3.6057238689686022</v>
      </c>
      <c r="H45" s="3">
        <v>7.0504210526315783</v>
      </c>
      <c r="I45" s="3">
        <f t="shared" si="0"/>
        <v>6.3531625848026518</v>
      </c>
      <c r="J45">
        <f t="shared" si="1"/>
        <v>2.2082344106950096</v>
      </c>
    </row>
    <row r="46" spans="1:20" x14ac:dyDescent="0.35">
      <c r="A46" s="1">
        <v>43101</v>
      </c>
      <c r="B46">
        <v>2.9640698883060801</v>
      </c>
      <c r="C46">
        <v>2.5526733243063999</v>
      </c>
      <c r="D46">
        <v>0.45003308739759601</v>
      </c>
      <c r="E46">
        <v>1.7030100483423201</v>
      </c>
      <c r="F46">
        <v>0.21250262137730999</v>
      </c>
      <c r="G46" s="3">
        <v>4.5314078871264929</v>
      </c>
      <c r="H46" s="3">
        <v>7.3962365591397852</v>
      </c>
      <c r="I46" s="3">
        <f t="shared" si="0"/>
        <v>7.4954777754325725</v>
      </c>
      <c r="J46">
        <f t="shared" si="1"/>
        <v>3.1228090688231731</v>
      </c>
    </row>
    <row r="47" spans="1:20" x14ac:dyDescent="0.35">
      <c r="A47" s="1">
        <v>43191</v>
      </c>
      <c r="B47">
        <v>2.1935298576359199</v>
      </c>
      <c r="C47">
        <v>2.6181696510624501</v>
      </c>
      <c r="D47">
        <v>-0.38501193661470701</v>
      </c>
      <c r="E47">
        <v>0.263346454767316</v>
      </c>
      <c r="F47">
        <v>1.72889637877</v>
      </c>
      <c r="G47" s="3">
        <v>3.1765357916665682</v>
      </c>
      <c r="H47" s="3">
        <v>7.5293617021276598</v>
      </c>
      <c r="I47" s="3">
        <f t="shared" si="0"/>
        <v>5.3700656493024876</v>
      </c>
      <c r="J47">
        <f t="shared" si="1"/>
        <v>3.8651212718669141</v>
      </c>
    </row>
    <row r="48" spans="1:20" x14ac:dyDescent="0.35">
      <c r="A48" s="1">
        <v>43282</v>
      </c>
      <c r="B48">
        <v>2.0608230174259701</v>
      </c>
      <c r="C48">
        <v>2.6428390628131599</v>
      </c>
      <c r="D48">
        <v>-0.542014799510948</v>
      </c>
      <c r="E48">
        <v>-0.29438373389189099</v>
      </c>
      <c r="F48">
        <v>2.1020952906094501</v>
      </c>
      <c r="G48" s="3">
        <v>3.261325886763311</v>
      </c>
      <c r="H48" s="3">
        <v>7.7517894736842097</v>
      </c>
      <c r="I48" s="3">
        <f t="shared" si="0"/>
        <v>5.3221489041892811</v>
      </c>
      <c r="J48">
        <f t="shared" si="1"/>
        <v>4.1080411150529663</v>
      </c>
    </row>
    <row r="49" spans="1:13" x14ac:dyDescent="0.35">
      <c r="A49" s="1">
        <v>43374</v>
      </c>
      <c r="B49">
        <v>2.2014206537949002</v>
      </c>
      <c r="C49">
        <v>2.59727487382892</v>
      </c>
      <c r="D49">
        <v>-0.35654262051285601</v>
      </c>
      <c r="E49">
        <v>-0.73829828623024696</v>
      </c>
      <c r="F49">
        <v>2.0867910186162502</v>
      </c>
      <c r="G49" s="3">
        <v>3.7845504114656809</v>
      </c>
      <c r="H49" s="3">
        <v>7.9124210526315784</v>
      </c>
      <c r="I49" s="3">
        <f t="shared" si="0"/>
        <v>5.9859710652605811</v>
      </c>
      <c r="J49">
        <f t="shared" si="1"/>
        <v>4.2239660583760656</v>
      </c>
    </row>
    <row r="50" spans="1:13" x14ac:dyDescent="0.35">
      <c r="A50" s="1">
        <v>43466</v>
      </c>
      <c r="B50">
        <v>2.3792800636885998</v>
      </c>
      <c r="C50">
        <v>2.5391319640607799</v>
      </c>
      <c r="D50">
        <v>-0.121420335077205</v>
      </c>
      <c r="E50">
        <v>-1.00242150264398</v>
      </c>
      <c r="F50">
        <v>2.3101836508745102</v>
      </c>
      <c r="G50" s="3">
        <v>4.0597330518520316</v>
      </c>
      <c r="H50" s="3">
        <v>8.250322580645161</v>
      </c>
      <c r="I50" s="3">
        <f t="shared" si="0"/>
        <v>6.4390131155406314</v>
      </c>
      <c r="J50">
        <f t="shared" si="1"/>
        <v>4.6797862952082632</v>
      </c>
    </row>
    <row r="51" spans="1:13" x14ac:dyDescent="0.35">
      <c r="A51" s="1">
        <v>43556</v>
      </c>
      <c r="B51">
        <v>2.56903647990399</v>
      </c>
      <c r="C51">
        <v>2.4097579088249002</v>
      </c>
      <c r="D51">
        <v>0.195751968180505</v>
      </c>
      <c r="E51">
        <v>-1.44017153870618</v>
      </c>
      <c r="F51">
        <v>1.8751588930015299</v>
      </c>
      <c r="G51" s="3">
        <v>4.2242758249635406</v>
      </c>
      <c r="H51" s="3">
        <v>8.2508602150537644</v>
      </c>
      <c r="I51" s="3">
        <f t="shared" si="0"/>
        <v>6.7933123048675306</v>
      </c>
      <c r="J51">
        <f t="shared" si="1"/>
        <v>4.4183889212926237</v>
      </c>
    </row>
    <row r="52" spans="1:13" x14ac:dyDescent="0.35">
      <c r="A52" s="1">
        <v>43647</v>
      </c>
      <c r="B52">
        <v>1.90845932042141</v>
      </c>
      <c r="C52">
        <v>2.4293710579812</v>
      </c>
      <c r="D52">
        <v>-0.48414148151874398</v>
      </c>
      <c r="E52">
        <v>-2.3095553683447201</v>
      </c>
      <c r="F52">
        <v>2.48743345206202</v>
      </c>
      <c r="G52" s="3">
        <v>3.027869621785007</v>
      </c>
      <c r="H52" s="3">
        <v>8.110631578947368</v>
      </c>
      <c r="I52" s="3">
        <f t="shared" si="0"/>
        <v>4.9363289422064174</v>
      </c>
      <c r="J52">
        <f t="shared" si="1"/>
        <v>4.3365243514308034</v>
      </c>
    </row>
    <row r="53" spans="1:13" x14ac:dyDescent="0.35">
      <c r="A53" s="1">
        <v>43739</v>
      </c>
      <c r="B53">
        <v>1.57693622156285</v>
      </c>
      <c r="C53">
        <v>2.3086259834188798</v>
      </c>
      <c r="D53">
        <v>-0.69674706825866695</v>
      </c>
      <c r="E53">
        <v>-3.1210212292592101</v>
      </c>
      <c r="F53">
        <v>2.4498447055246899</v>
      </c>
      <c r="G53" s="3">
        <v>3.2476644597159381</v>
      </c>
      <c r="H53" s="3">
        <v>7.5868421052631581</v>
      </c>
      <c r="I53" s="3">
        <f t="shared" si="0"/>
        <v>4.8246006812787883</v>
      </c>
      <c r="J53">
        <f t="shared" si="1"/>
        <v>3.9469563656840285</v>
      </c>
    </row>
    <row r="54" spans="1:13" x14ac:dyDescent="0.35">
      <c r="A54" s="1">
        <v>43831</v>
      </c>
      <c r="B54">
        <v>1.7225988091719999</v>
      </c>
      <c r="C54">
        <v>2.0306001701930798</v>
      </c>
      <c r="D54">
        <v>-0.277266785530977</v>
      </c>
      <c r="E54">
        <v>-3.5148239145994502</v>
      </c>
      <c r="F54">
        <v>1.71011110134706</v>
      </c>
      <c r="G54" s="3">
        <v>4.1293504514592794</v>
      </c>
      <c r="H54" s="3">
        <v>7.0545652173913043</v>
      </c>
      <c r="I54" s="3">
        <f t="shared" si="0"/>
        <v>5.8519492606312795</v>
      </c>
      <c r="J54">
        <f t="shared" si="1"/>
        <v>3.3972751279103628</v>
      </c>
    </row>
    <row r="55" spans="1:13" x14ac:dyDescent="0.35">
      <c r="A55" s="1">
        <v>43922</v>
      </c>
      <c r="B55">
        <v>-1.6836968581589999</v>
      </c>
      <c r="C55">
        <v>-0.47640161073540599</v>
      </c>
      <c r="D55">
        <v>-1.2145059240913501</v>
      </c>
      <c r="E55">
        <v>-16.081187985524402</v>
      </c>
      <c r="F55">
        <v>3.9473891849262199</v>
      </c>
      <c r="G55" s="3">
        <v>4.0603461599709068</v>
      </c>
      <c r="H55" s="3">
        <v>5.8153191489361697</v>
      </c>
      <c r="I55" s="3">
        <f t="shared" si="0"/>
        <v>2.3766493018119066</v>
      </c>
      <c r="J55">
        <f t="shared" si="1"/>
        <v>2.199011475703387</v>
      </c>
    </row>
    <row r="56" spans="1:13" x14ac:dyDescent="0.35">
      <c r="A56" s="1">
        <v>44013</v>
      </c>
      <c r="B56">
        <v>0.12625112712533201</v>
      </c>
      <c r="C56">
        <v>0.22723460777558399</v>
      </c>
      <c r="D56">
        <v>-9.7544123503946006E-2</v>
      </c>
      <c r="E56">
        <v>-5.1544741990412604</v>
      </c>
      <c r="F56">
        <v>0.66335841907694304</v>
      </c>
      <c r="G56" s="3">
        <v>4.3508674107114453</v>
      </c>
      <c r="H56" s="3">
        <v>4.7256382978723401</v>
      </c>
      <c r="I56" s="3">
        <f t="shared" si="0"/>
        <v>4.4771185378367777</v>
      </c>
      <c r="J56">
        <f t="shared" si="1"/>
        <v>0.77858117740794786</v>
      </c>
    </row>
    <row r="57" spans="1:13" x14ac:dyDescent="0.35">
      <c r="A57" s="1">
        <v>44105</v>
      </c>
      <c r="B57">
        <v>-1.6223233923095499E-2</v>
      </c>
      <c r="C57">
        <v>0.77331463650760701</v>
      </c>
      <c r="D57">
        <v>-0.77783320428212899</v>
      </c>
      <c r="E57">
        <v>-3.1947583407832099</v>
      </c>
      <c r="F57">
        <v>0.45287990453165899</v>
      </c>
      <c r="G57" s="3">
        <v>2.792809295424115</v>
      </c>
      <c r="H57" s="3">
        <v>4.2506315789473694</v>
      </c>
      <c r="I57" s="3">
        <f t="shared" si="0"/>
        <v>2.7765860615010194</v>
      </c>
      <c r="J57">
        <f t="shared" si="1"/>
        <v>0.41728824955593291</v>
      </c>
      <c r="L57" s="2" t="s">
        <v>31</v>
      </c>
      <c r="M57" s="2"/>
    </row>
    <row r="58" spans="1:13" x14ac:dyDescent="0.35">
      <c r="A58" s="1">
        <v>44197</v>
      </c>
      <c r="B58">
        <v>0.82278557507608596</v>
      </c>
      <c r="C58">
        <v>0.63760768820271796</v>
      </c>
      <c r="D58">
        <v>0.19482853199484201</v>
      </c>
      <c r="E58">
        <v>-1.9747261671482199</v>
      </c>
      <c r="F58">
        <v>-0.64452528548096799</v>
      </c>
      <c r="G58" s="3">
        <v>4.6562693088463947</v>
      </c>
      <c r="H58" s="3">
        <v>4.1175268817204298</v>
      </c>
      <c r="I58" s="3">
        <f t="shared" si="0"/>
        <v>5.4790548839224806</v>
      </c>
      <c r="J58">
        <f t="shared" si="1"/>
        <v>0.15245383798221379</v>
      </c>
      <c r="L58" s="2" t="s">
        <v>33</v>
      </c>
      <c r="M58" s="2">
        <f>CORREL(B:B,G:G)</f>
        <v>0.73108794509003061</v>
      </c>
    </row>
    <row r="59" spans="1:13" x14ac:dyDescent="0.35">
      <c r="A59" s="1">
        <v>44287</v>
      </c>
      <c r="B59">
        <v>1.9390603107376301</v>
      </c>
      <c r="C59">
        <v>0.50144639072719899</v>
      </c>
      <c r="D59">
        <v>1.4452036672074799</v>
      </c>
      <c r="E59">
        <v>-0.11165311232161899</v>
      </c>
      <c r="F59">
        <v>-2.2992388050104</v>
      </c>
      <c r="G59" s="3">
        <v>5.7607679621090924</v>
      </c>
      <c r="H59" s="3">
        <v>4.0170967741935479</v>
      </c>
      <c r="I59" s="3">
        <f t="shared" si="0"/>
        <v>7.6998282728467222</v>
      </c>
      <c r="J59">
        <f t="shared" si="1"/>
        <v>-0.37308172007921403</v>
      </c>
      <c r="L59" s="2" t="s">
        <v>34</v>
      </c>
      <c r="M59" s="2">
        <f>CORREL(B:B,H:H)</f>
        <v>0.64033189901342269</v>
      </c>
    </row>
    <row r="60" spans="1:13" x14ac:dyDescent="0.35">
      <c r="A60" s="1">
        <v>44378</v>
      </c>
      <c r="B60">
        <v>2.48753862002417</v>
      </c>
      <c r="C60">
        <v>0.20157098361669201</v>
      </c>
      <c r="D60">
        <v>2.2890185563785801</v>
      </c>
      <c r="E60">
        <v>0.192382011490281</v>
      </c>
      <c r="F60">
        <v>-2.88356678229857</v>
      </c>
      <c r="G60" s="3">
        <v>6.067599416051328</v>
      </c>
      <c r="H60" s="3">
        <v>4.3844210526315788</v>
      </c>
      <c r="I60" s="3">
        <f t="shared" si="0"/>
        <v>8.5551380360754976</v>
      </c>
      <c r="J60">
        <f t="shared" si="1"/>
        <v>-0.43494044297615364</v>
      </c>
      <c r="L60" s="2" t="s">
        <v>35</v>
      </c>
      <c r="M60" s="2">
        <f>CORREL(H:H,I:I)</f>
        <v>0.6168664853557223</v>
      </c>
    </row>
    <row r="61" spans="1:13" x14ac:dyDescent="0.35">
      <c r="A61" s="1">
        <v>44470</v>
      </c>
      <c r="B61">
        <v>3.0414976725440699</v>
      </c>
      <c r="C61">
        <v>0.177063692385653</v>
      </c>
      <c r="D61">
        <v>2.8671139648742998</v>
      </c>
      <c r="E61">
        <v>1.7819556257129501</v>
      </c>
      <c r="F61">
        <v>-3.6890106774365901</v>
      </c>
      <c r="G61" s="3">
        <v>5.9720819992299168</v>
      </c>
      <c r="H61" s="3">
        <v>4.9673684210526314</v>
      </c>
      <c r="I61" s="3">
        <f t="shared" si="0"/>
        <v>9.0135796717739858</v>
      </c>
      <c r="J61">
        <f t="shared" si="1"/>
        <v>-0.64681125050655108</v>
      </c>
    </row>
    <row r="62" spans="1:13" x14ac:dyDescent="0.35">
      <c r="A62" s="1">
        <v>44562</v>
      </c>
      <c r="B62">
        <v>5.1037519362241497</v>
      </c>
      <c r="C62">
        <v>7.3541546892456899E-2</v>
      </c>
      <c r="D62">
        <v>5.0313234928652202</v>
      </c>
      <c r="E62">
        <v>4.5349386529626399</v>
      </c>
      <c r="F62">
        <v>-5.8543780618916204</v>
      </c>
      <c r="G62" s="3">
        <v>8.4020551252795617</v>
      </c>
      <c r="H62" s="3">
        <v>5.8107526881720428</v>
      </c>
      <c r="I62" s="3">
        <f t="shared" si="0"/>
        <v>13.505807061503711</v>
      </c>
      <c r="J62">
        <f t="shared" si="1"/>
        <v>-0.73987343749543122</v>
      </c>
    </row>
    <row r="63" spans="1:13" x14ac:dyDescent="0.35">
      <c r="A63" s="1">
        <v>44652</v>
      </c>
      <c r="B63">
        <v>6.5417138886200101</v>
      </c>
      <c r="C63">
        <v>7.5615837015344106E-2</v>
      </c>
      <c r="D63">
        <v>6.4672425509921396</v>
      </c>
      <c r="E63">
        <v>6.5716497422531601</v>
      </c>
      <c r="F63">
        <v>-7.0896605675145903</v>
      </c>
      <c r="G63" s="3">
        <v>9.0033835083508595</v>
      </c>
      <c r="H63" s="3">
        <v>6.830000000000001</v>
      </c>
      <c r="I63" s="3">
        <f t="shared" si="0"/>
        <v>15.545097396970871</v>
      </c>
      <c r="J63">
        <f t="shared" si="1"/>
        <v>-0.53128001222791443</v>
      </c>
    </row>
    <row r="64" spans="1:13" x14ac:dyDescent="0.35">
      <c r="A64" s="1">
        <v>44743</v>
      </c>
      <c r="B64">
        <v>7.1580154316625499</v>
      </c>
      <c r="C64">
        <v>0.16358947265484</v>
      </c>
      <c r="D64">
        <v>6.9969020018400201</v>
      </c>
      <c r="E64">
        <v>7.5335769719497403</v>
      </c>
      <c r="F64">
        <v>-7.0042653413549303</v>
      </c>
      <c r="G64" s="3">
        <v>8.6741456725758503</v>
      </c>
      <c r="H64" s="3">
        <v>8.162234042553191</v>
      </c>
      <c r="I64" s="3">
        <f t="shared" si="0"/>
        <v>15.8321611042384</v>
      </c>
      <c r="J64">
        <f t="shared" si="1"/>
        <v>0.14931746619414454</v>
      </c>
    </row>
    <row r="65" spans="1:10" x14ac:dyDescent="0.35">
      <c r="A65" s="1">
        <v>44835</v>
      </c>
      <c r="B65">
        <v>6.7582629987178997</v>
      </c>
      <c r="C65">
        <v>0.32712782903266002</v>
      </c>
      <c r="D65">
        <v>6.4360864816687098</v>
      </c>
      <c r="E65">
        <v>7.1582344687465103</v>
      </c>
      <c r="F65">
        <v>-5.4419057480386996</v>
      </c>
      <c r="G65" s="3">
        <v>7.6949866910769549</v>
      </c>
      <c r="H65" s="3">
        <v>9.7529473684210526</v>
      </c>
      <c r="I65" s="3">
        <f t="shared" si="0"/>
        <v>14.453249689794855</v>
      </c>
      <c r="J65">
        <f t="shared" si="1"/>
        <v>1.3093046191002458</v>
      </c>
    </row>
    <row r="66" spans="1:10" x14ac:dyDescent="0.35">
      <c r="A66" s="1">
        <v>44927</v>
      </c>
      <c r="B66">
        <v>6.5806055433038599</v>
      </c>
      <c r="C66">
        <v>0.55885282862318597</v>
      </c>
      <c r="D66">
        <v>6.0302113490791696</v>
      </c>
      <c r="E66">
        <v>7.0622745208570397</v>
      </c>
      <c r="F66">
        <v>-4.06936567798508</v>
      </c>
      <c r="G66" s="3">
        <v>7.7558580000545394</v>
      </c>
      <c r="H66" s="3">
        <v>10.780967741935481</v>
      </c>
      <c r="I66" s="3">
        <f t="shared" si="0"/>
        <v>14.336463543358398</v>
      </c>
      <c r="J66">
        <f t="shared" si="1"/>
        <v>2.4988742739209293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8668-2E3B-4E1B-AF76-6BA1B2BFB1BC}">
  <dimension ref="C18:M35"/>
  <sheetViews>
    <sheetView workbookViewId="0">
      <selection activeCell="E53" sqref="D53:E54"/>
    </sheetView>
  </sheetViews>
  <sheetFormatPr defaultRowHeight="14.5" x14ac:dyDescent="0.35"/>
  <cols>
    <col min="3" max="4" width="10.36328125" bestFit="1" customWidth="1"/>
    <col min="12" max="12" width="10.7265625" bestFit="1" customWidth="1"/>
  </cols>
  <sheetData>
    <row r="18" spans="3:13" x14ac:dyDescent="0.35">
      <c r="C18" s="2" t="s">
        <v>31</v>
      </c>
      <c r="D18" s="2">
        <f>CORREL(output.mx!B:B,output.mx!G:G)</f>
        <v>0.73108794509003061</v>
      </c>
      <c r="L18" s="2" t="s">
        <v>31</v>
      </c>
      <c r="M18" s="2">
        <f>CORREL(output.mx!E:E,output.mx!F:F)</f>
        <v>-0.72662908400392101</v>
      </c>
    </row>
    <row r="35" spans="3:13" x14ac:dyDescent="0.35">
      <c r="C35" s="2" t="s">
        <v>31</v>
      </c>
      <c r="D35" s="2">
        <f>CORREL(output.mx!F:F,output.mx!G:G)</f>
        <v>-0.68643014861921337</v>
      </c>
      <c r="L35" s="2" t="s">
        <v>31</v>
      </c>
      <c r="M35" s="2">
        <f>CORREL(output.mx!E:E,output.mx!G:G)</f>
        <v>0.39312456488725395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output.mx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2025-05-06T17:39:42Z</dcterms:created>
  <dcterms:modified xsi:type="dcterms:W3CDTF">2025-05-07T17:41:56Z</dcterms:modified>
</cp:coreProperties>
</file>
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_ML\CEPAL\Tasa-Natural-de-Interes\HLW_2023_Replication_Code\HLW_2023_Replication_Code\output\"/>
    </mc:Choice>
  </mc:AlternateContent>
  <xr:revisionPtr revIDLastSave="0" documentId="8_{135B1439-B540-4859-8759-070A6B8F178F}" xr6:coauthVersionLast="47" xr6:coauthVersionMax="47" xr10:uidLastSave="{00000000-0000-0000-0000-000000000000}"/>
  <bookViews>
    <workbookView xWindow="-120" yWindow="-120" windowWidth="29040" windowHeight="15720" activeTab="10" xr2:uid="{0F4BC44C-177E-4A07-89FD-F1FCBEC3AF3A}"/>
  </bookViews>
  <sheets>
    <sheet name="summary" sheetId="1" r:id="rId1"/>
    <sheet name="output.br" sheetId="2" r:id="rId2"/>
    <sheet name="output.co" sheetId="5" r:id="rId3"/>
    <sheet name="output.mx" sheetId="4" r:id="rId4"/>
    <sheet name="output.pe" sheetId="3" r:id="rId5"/>
    <sheet name="output.ch" sheetId="6" r:id="rId6"/>
    <sheet name="BRA Input Data" sheetId="11" r:id="rId7"/>
    <sheet name="COL Input Data" sheetId="9" r:id="rId8"/>
    <sheet name="MEX Input Data" sheetId="7" r:id="rId9"/>
    <sheet name="mex_truncated" sheetId="8" r:id="rId10"/>
    <sheet name="PER Input Data" sheetId="12" r:id="rId11"/>
    <sheet name="CHL Input Data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 a="1"/>
  <c r="H2" i="8" s="1"/>
  <c r="I2" i="8" s="1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K1" i="7"/>
  <c r="H2" i="7" a="1"/>
  <c r="H2" i="7" s="1"/>
  <c r="I2" i="7" s="1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57" i="8" l="1"/>
  <c r="I15" i="8"/>
  <c r="I49" i="8"/>
  <c r="I21" i="8"/>
  <c r="I14" i="8"/>
  <c r="I7" i="8"/>
  <c r="I50" i="8"/>
  <c r="I29" i="8"/>
  <c r="I35" i="8"/>
  <c r="I41" i="8"/>
  <c r="I5" i="8"/>
  <c r="I36" i="8"/>
  <c r="I8" i="8"/>
  <c r="I28" i="8"/>
  <c r="I13" i="8"/>
  <c r="I43" i="8"/>
  <c r="I22" i="8"/>
  <c r="I56" i="8"/>
  <c r="I42" i="8"/>
  <c r="I55" i="8"/>
  <c r="I48" i="8"/>
  <c r="I34" i="8"/>
  <c r="I27" i="8"/>
  <c r="I20" i="8"/>
  <c r="I6" i="8"/>
  <c r="I54" i="8"/>
  <c r="I47" i="8"/>
  <c r="I40" i="8"/>
  <c r="I33" i="8"/>
  <c r="I26" i="8"/>
  <c r="I19" i="8"/>
  <c r="I12" i="8"/>
  <c r="I53" i="8"/>
  <c r="I46" i="8"/>
  <c r="I39" i="8"/>
  <c r="I32" i="8"/>
  <c r="I25" i="8"/>
  <c r="I18" i="8"/>
  <c r="I11" i="8"/>
  <c r="I4" i="8"/>
  <c r="I52" i="8"/>
  <c r="I45" i="8"/>
  <c r="I38" i="8"/>
  <c r="I31" i="8"/>
  <c r="I24" i="8"/>
  <c r="I17" i="8"/>
  <c r="I10" i="8"/>
  <c r="I3" i="8"/>
  <c r="K1" i="8" s="1"/>
  <c r="I51" i="8"/>
  <c r="I44" i="8"/>
  <c r="I37" i="8"/>
  <c r="I30" i="8"/>
  <c r="I23" i="8"/>
  <c r="I16" i="8"/>
  <c r="I9" i="8"/>
  <c r="I14" i="7"/>
  <c r="I7" i="7"/>
  <c r="I6" i="7"/>
  <c r="I13" i="7"/>
  <c r="I5" i="7"/>
  <c r="I12" i="7"/>
  <c r="I11" i="7"/>
  <c r="I4" i="7"/>
  <c r="I10" i="7"/>
  <c r="I3" i="7"/>
  <c r="I64" i="7"/>
  <c r="I57" i="7"/>
  <c r="I50" i="7"/>
  <c r="I43" i="7"/>
  <c r="I36" i="7"/>
  <c r="I29" i="7"/>
  <c r="I22" i="7"/>
  <c r="I15" i="7"/>
  <c r="I8" i="7"/>
  <c r="I70" i="7"/>
  <c r="I63" i="7"/>
  <c r="I56" i="7"/>
  <c r="I49" i="7"/>
  <c r="I42" i="7"/>
  <c r="I35" i="7"/>
  <c r="I28" i="7"/>
  <c r="I21" i="7"/>
  <c r="I69" i="7"/>
  <c r="I62" i="7"/>
  <c r="I55" i="7"/>
  <c r="I48" i="7"/>
  <c r="I41" i="7"/>
  <c r="I34" i="7"/>
  <c r="I27" i="7"/>
  <c r="I20" i="7"/>
  <c r="I68" i="7"/>
  <c r="I61" i="7"/>
  <c r="I54" i="7"/>
  <c r="I47" i="7"/>
  <c r="I40" i="7"/>
  <c r="I33" i="7"/>
  <c r="I26" i="7"/>
  <c r="I19" i="7"/>
  <c r="I67" i="7"/>
  <c r="I60" i="7"/>
  <c r="I53" i="7"/>
  <c r="I46" i="7"/>
  <c r="I39" i="7"/>
  <c r="I32" i="7"/>
  <c r="I25" i="7"/>
  <c r="I18" i="7"/>
  <c r="I66" i="7"/>
  <c r="I59" i="7"/>
  <c r="I52" i="7"/>
  <c r="I45" i="7"/>
  <c r="I38" i="7"/>
  <c r="I31" i="7"/>
  <c r="I24" i="7"/>
  <c r="I17" i="7"/>
  <c r="I65" i="7"/>
  <c r="I58" i="7"/>
  <c r="I51" i="7"/>
  <c r="I44" i="7"/>
  <c r="I37" i="7"/>
  <c r="I30" i="7"/>
  <c r="I23" i="7"/>
  <c r="I16" i="7"/>
  <c r="I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<sst xmlns="http://schemas.openxmlformats.org/spreadsheetml/2006/main" count="231" uniqueCount="59">
  <si>
    <t>Brazil</t>
  </si>
  <si>
    <t>Colombia</t>
  </si>
  <si>
    <t>Mexico</t>
  </si>
  <si>
    <t>Peru</t>
  </si>
  <si>
    <t>Chile</t>
  </si>
  <si>
    <t>a_y1</t>
  </si>
  <si>
    <t>lag 1 output gap</t>
  </si>
  <si>
    <t>a_y2</t>
  </si>
  <si>
    <t>lag 2 output gap</t>
  </si>
  <si>
    <t>a_r</t>
  </si>
  <si>
    <t>b_pi</t>
  </si>
  <si>
    <t>inflation lag</t>
  </si>
  <si>
    <t>b_y</t>
  </si>
  <si>
    <t>output gap → inflation</t>
  </si>
  <si>
    <t>sigma_ygap</t>
  </si>
  <si>
    <t>s.d. output gap</t>
  </si>
  <si>
    <t>sigma_pi</t>
  </si>
  <si>
    <t>s.d. inflation</t>
  </si>
  <si>
    <t>sigma_ystar</t>
  </si>
  <si>
    <t>s.d. potential output</t>
  </si>
  <si>
    <t>phi</t>
  </si>
  <si>
    <t>s.d. other factors</t>
  </si>
  <si>
    <t>c</t>
  </si>
  <si>
    <t>constant</t>
  </si>
  <si>
    <t>a_y1 + a_y2</t>
  </si>
  <si>
    <t>persistence</t>
  </si>
  <si>
    <t>real rate effect on output gap.</t>
  </si>
  <si>
    <t>Initial Covariance Matrix</t>
  </si>
  <si>
    <t>Initial State Vector</t>
  </si>
  <si>
    <t>State vector: [y_{t}* y_{t-1}* y_{t-2}* g_{t} g_{t-1} g_{t-2} z_{t} z_{t-1} z_{t-2}]</t>
  </si>
  <si>
    <t>lambda_z</t>
  </si>
  <si>
    <t>lambda_g</t>
  </si>
  <si>
    <t>Log Likelihood</t>
  </si>
  <si>
    <t>Signal-to-noise Ratios</t>
  </si>
  <si>
    <t>Parameter Point Estimates</t>
  </si>
  <si>
    <t>g</t>
  </si>
  <si>
    <t>r*</t>
  </si>
  <si>
    <t>y*</t>
  </si>
  <si>
    <t>Date</t>
  </si>
  <si>
    <t>Standard Errors</t>
  </si>
  <si>
    <t>All results are output from the Stage 3 model.</t>
  </si>
  <si>
    <t>real rate gap</t>
  </si>
  <si>
    <t>output gap</t>
  </si>
  <si>
    <t>z</t>
  </si>
  <si>
    <t>rstar</t>
  </si>
  <si>
    <t>real_rate</t>
  </si>
  <si>
    <t>inflation</t>
  </si>
  <si>
    <t>nominal_rate</t>
  </si>
  <si>
    <t>real.rate</t>
  </si>
  <si>
    <t>output.gap</t>
  </si>
  <si>
    <t>trend</t>
  </si>
  <si>
    <t>covid.indicator</t>
  </si>
  <si>
    <t>interest</t>
  </si>
  <si>
    <t>inflation.expectations</t>
  </si>
  <si>
    <t>gdp.log</t>
  </si>
  <si>
    <t>reference</t>
  </si>
  <si>
    <t>Neutral rate of interest (r*) — HLW model</t>
  </si>
  <si>
    <t>Parameter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</si>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</sst>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5">
    <xf numFmtId="0" fontId="0" fillId="0" borderId="0" xfId="0"/>
    <xf numFmtId="0" fontId="19" fillId="33" borderId="0" xfId="0" applyFont="1" applyFill="1" applyAlignment="1">
      <alignment horizontal="left" indent="2"/>
    </xf>
    <xf numFmtId="0" fontId="19" fillId="33" borderId="10" xfId="0" applyFont="1" applyFill="1" applyBorder="1" applyAlignment="1">
      <alignment horizontal="left" vertical="center" wrapText="1" indent="2"/>
    </xf>
    <xf numFmtId="0" fontId="18" fillId="33" borderId="10" xfId="0" applyFont="1" applyFill="1" applyBorder="1" applyAlignment="1">
      <alignment horizontal="left" wrapText="1" indent="2"/>
    </xf>
    <xf numFmtId="0" fontId="18" fillId="34" borderId="10" xfId="0" applyFont="1" applyFill="1" applyBorder="1" applyAlignment="1">
      <alignment horizontal="left" wrapText="1" indent="2"/>
    </xf>
    <xf numFmtId="0" fontId="14" fillId="34" borderId="10" xfId="0" applyFont="1" applyFill="1" applyBorder="1" applyAlignment="1">
      <alignment horizontal="left" wrapText="1" indent="2"/>
    </xf>
    <xf numFmtId="0" fontId="18" fillId="33" borderId="0" xfId="0" applyFont="1" applyFill="1" applyAlignment="1">
      <alignment horizontal="left" indent="2"/>
    </xf>
    <xf numFmtId="14" fontId="0" fillId="0" borderId="0" xfId="0" applyNumberFormat="1"/>
    <xf numFmtId="168" fontId="16" fillId="0" borderId="11" xfId="0" applyNumberFormat="1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168" fontId="20" fillId="0" borderId="11" xfId="0" applyNumberFormat="1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4" fontId="21" fillId="0" borderId="14" xfId="42" applyNumberForma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E73A551-9B8A-4AE1-84D5-221AA5BE477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456F-011F-4840-B343-1447E435DB7C}">
  <sheetPr>
    <tabColor theme="9" tint="0.59999389629810485"/>
  </sheetPr>
  <dimension ref="B1:H14"/>
  <sheetViews>
    <sheetView showGridLines="0" workbookViewId="0">
      <selection activeCell="C34" sqref="C34"/>
    </sheetView>
  </sheetViews>
  <sheetFormatPr defaultRowHeight="14.25"/>
  <cols>
    <col min="1" max="1" width="9" style="6"/>
    <col min="2" max="2" width="16.625" style="6" bestFit="1" customWidth="1"/>
    <col min="3" max="3" width="29.375" style="6" bestFit="1" customWidth="1"/>
    <col min="4" max="4" width="12" style="6" bestFit="1" customWidth="1"/>
    <col min="5" max="5" width="13.25" style="6" bestFit="1" customWidth="1"/>
    <col min="6" max="8" width="12" style="6" bestFit="1" customWidth="1"/>
    <col min="9" max="16384" width="9" style="6"/>
  </cols>
  <sheetData>
    <row r="1" spans="2:8" ht="15">
      <c r="B1" s="1" t="s">
        <v>56</v>
      </c>
    </row>
    <row r="2" spans="2:8" ht="15" thickBot="1"/>
    <row r="3" spans="2:8" ht="15.75" thickBot="1">
      <c r="B3" s="2" t="s">
        <v>57</v>
      </c>
      <c r="C3" s="2" t="s">
        <v>58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</row>
    <row r="4" spans="2:8" ht="15" thickBot="1">
      <c r="B4" s="3" t="s">
        <v>5</v>
      </c>
      <c r="C4" s="3" t="s">
        <v>6</v>
      </c>
      <c r="D4" s="3">
        <v>1.837</v>
      </c>
      <c r="E4" s="3">
        <v>0.60009999999999997</v>
      </c>
      <c r="F4" s="3">
        <v>1.1105</v>
      </c>
      <c r="G4" s="3">
        <v>-6.0999999999999999E-2</v>
      </c>
      <c r="H4" s="3">
        <v>1.2988</v>
      </c>
    </row>
    <row r="5" spans="2:8" ht="15" thickBot="1">
      <c r="B5" s="3" t="s">
        <v>7</v>
      </c>
      <c r="C5" s="3" t="s">
        <v>8</v>
      </c>
      <c r="D5" s="3">
        <v>-0.87629999999999997</v>
      </c>
      <c r="E5" s="3">
        <v>0.18129999999999999</v>
      </c>
      <c r="F5" s="3">
        <v>-0.45579999999999998</v>
      </c>
      <c r="G5" s="3">
        <v>4.1700000000000001E-2</v>
      </c>
      <c r="H5" s="3">
        <v>-0.432</v>
      </c>
    </row>
    <row r="6" spans="2:8" ht="15" thickBot="1">
      <c r="B6" s="4" t="s">
        <v>9</v>
      </c>
      <c r="C6" s="4" t="s">
        <v>26</v>
      </c>
      <c r="D6" s="5">
        <v>-1.61E-2</v>
      </c>
      <c r="E6" s="4">
        <v>-0.192</v>
      </c>
      <c r="F6" s="5">
        <v>-7.0400000000000004E-2</v>
      </c>
      <c r="G6" s="4">
        <v>-0.39350000000000002</v>
      </c>
      <c r="H6" s="5">
        <v>-2.5000000000000001E-3</v>
      </c>
    </row>
    <row r="7" spans="2:8" ht="15" thickBot="1">
      <c r="B7" s="3" t="s">
        <v>10</v>
      </c>
      <c r="C7" s="3" t="s">
        <v>11</v>
      </c>
      <c r="D7" s="3">
        <v>0.86499999999999999</v>
      </c>
      <c r="E7" s="3">
        <v>0.2427</v>
      </c>
      <c r="F7" s="3">
        <v>0.38379999999999997</v>
      </c>
      <c r="G7" s="3">
        <v>0.79610000000000003</v>
      </c>
      <c r="H7" s="3">
        <v>0.65029999999999999</v>
      </c>
    </row>
    <row r="8" spans="2:8" ht="15" thickBot="1">
      <c r="B8" s="4" t="s">
        <v>12</v>
      </c>
      <c r="C8" s="4" t="s">
        <v>13</v>
      </c>
      <c r="D8" s="5">
        <v>8.6800000000000002E-2</v>
      </c>
      <c r="E8" s="4">
        <v>0.3201</v>
      </c>
      <c r="F8" s="4">
        <v>0.113</v>
      </c>
      <c r="G8" s="4">
        <v>2.5000000000000001E-2</v>
      </c>
      <c r="H8" s="4">
        <v>0.1741</v>
      </c>
    </row>
    <row r="9" spans="2:8" ht="15" thickBot="1">
      <c r="B9" s="3" t="s">
        <v>14</v>
      </c>
      <c r="C9" s="3" t="s">
        <v>15</v>
      </c>
      <c r="D9" s="3">
        <v>0.17960000000000001</v>
      </c>
      <c r="E9" s="3">
        <v>1.5721000000000001</v>
      </c>
      <c r="F9" s="3">
        <v>0.72130000000000005</v>
      </c>
      <c r="G9" s="3">
        <v>4.4772999999999996</v>
      </c>
      <c r="H9" s="3">
        <v>1.4916</v>
      </c>
    </row>
    <row r="10" spans="2:8" ht="15" thickBot="1">
      <c r="B10" s="3" t="s">
        <v>16</v>
      </c>
      <c r="C10" s="3" t="s">
        <v>17</v>
      </c>
      <c r="D10" s="3">
        <v>1.5421</v>
      </c>
      <c r="E10" s="3">
        <v>2.2002999999999999</v>
      </c>
      <c r="F10" s="3">
        <v>1.123</v>
      </c>
      <c r="G10" s="3">
        <v>1.1531</v>
      </c>
      <c r="H10" s="3">
        <v>2.0785</v>
      </c>
    </row>
    <row r="11" spans="2:8" ht="15" thickBot="1">
      <c r="B11" s="3" t="s">
        <v>18</v>
      </c>
      <c r="C11" s="3" t="s">
        <v>19</v>
      </c>
      <c r="D11" s="3">
        <v>1.1978</v>
      </c>
      <c r="E11" s="3">
        <v>0.16750000000000001</v>
      </c>
      <c r="F11" s="3">
        <v>0.45629999999999998</v>
      </c>
      <c r="G11" s="3">
        <v>1.0383</v>
      </c>
      <c r="H11" s="3">
        <v>0.67669999999999997</v>
      </c>
    </row>
    <row r="12" spans="2:8" ht="15" thickBot="1">
      <c r="B12" s="3" t="s">
        <v>20</v>
      </c>
      <c r="C12" s="3" t="s">
        <v>21</v>
      </c>
      <c r="D12" s="3">
        <v>-0.1905</v>
      </c>
      <c r="E12" s="3">
        <v>-0.20749999999999999</v>
      </c>
      <c r="F12" s="3">
        <v>0</v>
      </c>
      <c r="G12" s="3">
        <v>-0.1857</v>
      </c>
      <c r="H12" s="3">
        <v>-0.2014</v>
      </c>
    </row>
    <row r="13" spans="2:8" ht="15" thickBot="1">
      <c r="B13" s="3" t="s">
        <v>22</v>
      </c>
      <c r="C13" s="3" t="s">
        <v>23</v>
      </c>
      <c r="D13" s="3">
        <v>1.8527</v>
      </c>
      <c r="E13" s="3">
        <v>0.88500000000000001</v>
      </c>
      <c r="F13" s="3">
        <v>1.0038</v>
      </c>
      <c r="G13" s="3">
        <v>2.2894999999999999</v>
      </c>
      <c r="H13" s="3">
        <v>0.99990000000000001</v>
      </c>
    </row>
    <row r="14" spans="2:8" ht="15" thickBot="1">
      <c r="B14" s="3" t="s">
        <v>24</v>
      </c>
      <c r="C14" s="3" t="s">
        <v>25</v>
      </c>
      <c r="D14" s="3">
        <v>0.9607</v>
      </c>
      <c r="E14" s="3">
        <v>0.78129999999999999</v>
      </c>
      <c r="F14" s="3">
        <v>0.65469999999999995</v>
      </c>
      <c r="G14" s="3">
        <v>-1.9300000000000001E-2</v>
      </c>
      <c r="H14" s="3">
        <v>0.86680000000000001</v>
      </c>
    </row>
  </sheetData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4748-4A41-4CAC-92F1-527D57A47BEE}">
  <sheetPr>
    <tabColor theme="9" tint="0.59999389629810485"/>
  </sheetPr>
  <dimension ref="A1:AB96"/>
  <sheetViews>
    <sheetView workbookViewId="0">
      <selection activeCell="E38" sqref="E38"/>
    </sheetView>
  </sheetViews>
  <sheetFormatPr defaultRowHeight="14.25"/>
  <sheetData>
    <row r="1" spans="1:28">
      <c r="A1" t="s">
        <v>38</v>
      </c>
      <c r="B1" t="s">
        <v>44</v>
      </c>
      <c r="C1" t="s">
        <v>35</v>
      </c>
      <c r="D1" t="s">
        <v>43</v>
      </c>
      <c r="E1" t="s">
        <v>42</v>
      </c>
      <c r="F1" t="s">
        <v>41</v>
      </c>
      <c r="I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</row>
    <row r="2" spans="1:28">
      <c r="A2" s="7">
        <v>36526</v>
      </c>
      <c r="B2">
        <v>5.8966552940946197</v>
      </c>
      <c r="C2">
        <v>3.1846859177770401</v>
      </c>
      <c r="D2">
        <v>-3.52908976689508E-3</v>
      </c>
      <c r="E2">
        <v>2.0862995607035399</v>
      </c>
      <c r="F2">
        <v>8.1686712673820807</v>
      </c>
      <c r="I2" t="s">
        <v>34</v>
      </c>
    </row>
    <row r="3" spans="1:28">
      <c r="A3" s="7">
        <v>36617</v>
      </c>
      <c r="B3">
        <v>6.8920266923123101</v>
      </c>
      <c r="C3">
        <v>3.7167798230785798</v>
      </c>
      <c r="D3">
        <v>6.0458337392717302E-3</v>
      </c>
      <c r="E3">
        <v>2.4573676365239399</v>
      </c>
      <c r="F3">
        <v>7.1349784768666504</v>
      </c>
      <c r="I3" t="s">
        <v>5</v>
      </c>
      <c r="J3" t="s">
        <v>7</v>
      </c>
      <c r="K3" t="s">
        <v>9</v>
      </c>
      <c r="L3" t="s">
        <v>10</v>
      </c>
      <c r="M3" t="s">
        <v>12</v>
      </c>
      <c r="N3" t="s">
        <v>14</v>
      </c>
      <c r="O3" t="s">
        <v>16</v>
      </c>
      <c r="P3" t="s">
        <v>18</v>
      </c>
      <c r="Q3" t="s">
        <v>20</v>
      </c>
      <c r="R3" t="s">
        <v>22</v>
      </c>
      <c r="S3" t="s">
        <v>24</v>
      </c>
    </row>
    <row r="4" spans="1:28">
      <c r="A4" s="7">
        <v>36708</v>
      </c>
      <c r="B4">
        <v>7.3910759362920899</v>
      </c>
      <c r="C4">
        <v>3.9808381424675798</v>
      </c>
      <c r="D4">
        <v>1.58811292442784E-2</v>
      </c>
      <c r="E4">
        <v>2.69698744097377</v>
      </c>
      <c r="F4">
        <v>4.7635164172803899</v>
      </c>
      <c r="I4">
        <v>1.8369698748710701</v>
      </c>
      <c r="J4">
        <v>-0.87628167059508699</v>
      </c>
      <c r="K4">
        <v>-1.6149306269451599E-2</v>
      </c>
      <c r="L4">
        <v>0.86504975330225897</v>
      </c>
      <c r="M4">
        <v>8.6779503939857006E-2</v>
      </c>
      <c r="N4">
        <v>0.17961702447787001</v>
      </c>
      <c r="O4">
        <v>1.54206019893312</v>
      </c>
      <c r="P4">
        <v>1.1977866942248601</v>
      </c>
      <c r="Q4">
        <v>-0.19053452646293201</v>
      </c>
      <c r="R4">
        <v>1.85267386994945</v>
      </c>
      <c r="S4">
        <v>0.96068820427598201</v>
      </c>
    </row>
    <row r="5" spans="1:28">
      <c r="A5" s="7">
        <v>36800</v>
      </c>
      <c r="B5">
        <v>8.0170636779359103</v>
      </c>
      <c r="C5">
        <v>4.3166445054813503</v>
      </c>
      <c r="D5">
        <v>1.97291967697358E-2</v>
      </c>
      <c r="E5">
        <v>1.7061534563463301</v>
      </c>
      <c r="F5">
        <v>4.3906869443981904</v>
      </c>
    </row>
    <row r="6" spans="1:28">
      <c r="A6" s="7">
        <v>36892</v>
      </c>
      <c r="B6">
        <v>7.4750063237415203</v>
      </c>
      <c r="C6">
        <v>4.0248457683755197</v>
      </c>
      <c r="D6">
        <v>1.8279738095547698E-2</v>
      </c>
      <c r="E6">
        <v>1.8130258262745</v>
      </c>
      <c r="F6">
        <v>3.76095172424428</v>
      </c>
    </row>
    <row r="7" spans="1:28">
      <c r="A7" s="7">
        <v>36982</v>
      </c>
      <c r="B7">
        <v>7.1535825076624597</v>
      </c>
      <c r="C7">
        <v>3.8502700982941001</v>
      </c>
      <c r="D7">
        <v>2.0287704305262898E-2</v>
      </c>
      <c r="E7">
        <v>1.69789764822235</v>
      </c>
      <c r="F7">
        <v>4.3111722930406096</v>
      </c>
    </row>
    <row r="8" spans="1:28">
      <c r="A8" s="7">
        <v>37073</v>
      </c>
      <c r="B8">
        <v>4.1295959876802097</v>
      </c>
      <c r="C8">
        <v>2.2528257184623901</v>
      </c>
      <c r="D8">
        <v>-4.41553544651608E-2</v>
      </c>
      <c r="E8">
        <v>2.4059740153193201</v>
      </c>
      <c r="F8">
        <v>9.0298242693920692</v>
      </c>
    </row>
    <row r="9" spans="1:28">
      <c r="A9" s="7">
        <v>37165</v>
      </c>
      <c r="B9">
        <v>5.1826280587645996</v>
      </c>
      <c r="C9">
        <v>2.8050898759258902</v>
      </c>
      <c r="D9">
        <v>-1.42886572230488E-2</v>
      </c>
      <c r="E9">
        <v>0.90038353068803201</v>
      </c>
      <c r="F9">
        <v>7.0096966920020298</v>
      </c>
    </row>
    <row r="10" spans="1:28">
      <c r="A10" s="7">
        <v>37257</v>
      </c>
      <c r="B10">
        <v>7.0275930939212401</v>
      </c>
      <c r="C10">
        <v>3.7692243951089601</v>
      </c>
      <c r="D10">
        <v>4.4449547126839198E-2</v>
      </c>
      <c r="E10">
        <v>-0.66472704042098496</v>
      </c>
      <c r="F10">
        <v>4.3766556436641402</v>
      </c>
    </row>
    <row r="11" spans="1:28">
      <c r="A11" s="7">
        <v>37347</v>
      </c>
      <c r="B11">
        <v>7.33520990218791</v>
      </c>
      <c r="C11">
        <v>3.9443054734107301</v>
      </c>
      <c r="D11">
        <v>2.7698216501248499E-2</v>
      </c>
      <c r="E11">
        <v>-1.81858581799042</v>
      </c>
      <c r="F11">
        <v>4.05681112539426</v>
      </c>
    </row>
    <row r="12" spans="1:28">
      <c r="A12" s="7">
        <v>37438</v>
      </c>
      <c r="B12">
        <v>6.4295244890070098</v>
      </c>
      <c r="C12">
        <v>3.4707232695052701</v>
      </c>
      <c r="D12">
        <v>-5.9382223095286201E-4</v>
      </c>
      <c r="E12">
        <v>-2.1263218525564298</v>
      </c>
      <c r="F12">
        <v>4.9326057785990196</v>
      </c>
    </row>
    <row r="13" spans="1:28">
      <c r="A13" s="7">
        <v>37530</v>
      </c>
      <c r="B13">
        <v>6.3001511716484702</v>
      </c>
      <c r="C13">
        <v>3.3489768423878599</v>
      </c>
      <c r="D13">
        <v>9.5589284690654794E-2</v>
      </c>
      <c r="E13">
        <v>-1.8210541240710001</v>
      </c>
      <c r="F13">
        <v>7.03366232697537</v>
      </c>
    </row>
    <row r="14" spans="1:28">
      <c r="A14" s="7">
        <v>37622</v>
      </c>
      <c r="B14">
        <v>6.7103934294038599</v>
      </c>
      <c r="C14">
        <v>3.5269850559968701</v>
      </c>
      <c r="D14">
        <v>0.17604037645625301</v>
      </c>
      <c r="E14">
        <v>-2.0368277375009698</v>
      </c>
      <c r="F14">
        <v>9.0517059650932303</v>
      </c>
    </row>
    <row r="15" spans="1:28">
      <c r="A15" s="7">
        <v>37712</v>
      </c>
      <c r="B15">
        <v>5.97443799249666</v>
      </c>
      <c r="C15">
        <v>3.1597301708978698</v>
      </c>
      <c r="D15">
        <v>0.12048846878325201</v>
      </c>
      <c r="E15">
        <v>-2.8746968321606801</v>
      </c>
      <c r="F15">
        <v>8.3938022326653599</v>
      </c>
    </row>
    <row r="16" spans="1:28">
      <c r="A16" s="7">
        <v>37803</v>
      </c>
      <c r="B16">
        <v>5.8090143126032503</v>
      </c>
      <c r="C16">
        <v>3.1293235093140201</v>
      </c>
      <c r="D16">
        <v>1.13984162786499E-2</v>
      </c>
      <c r="E16">
        <v>-4.0840676040811603</v>
      </c>
      <c r="F16">
        <v>5.1261096269197104</v>
      </c>
    </row>
    <row r="17" spans="1:17">
      <c r="A17" s="7">
        <v>37895</v>
      </c>
      <c r="B17">
        <v>5.9671043090320603</v>
      </c>
      <c r="C17">
        <v>3.2368187514300999</v>
      </c>
      <c r="D17">
        <v>-2.96652135048995E-2</v>
      </c>
      <c r="E17">
        <v>-4.7823234375523498</v>
      </c>
      <c r="F17">
        <v>1.6142971630120599</v>
      </c>
    </row>
    <row r="18" spans="1:17">
      <c r="A18" s="7">
        <v>37987</v>
      </c>
      <c r="B18">
        <v>5.6889389680551403</v>
      </c>
      <c r="C18">
        <v>3.0956296091868798</v>
      </c>
      <c r="D18">
        <v>-4.6253119927232397E-2</v>
      </c>
      <c r="E18">
        <v>-5.1469168889807397</v>
      </c>
      <c r="F18">
        <v>2.3148257751794001</v>
      </c>
    </row>
    <row r="19" spans="1:17">
      <c r="A19" s="7">
        <v>38078</v>
      </c>
      <c r="B19">
        <v>6.3318720783246603</v>
      </c>
      <c r="C19">
        <v>3.4236418136856201</v>
      </c>
      <c r="D19">
        <v>-1.10196499570445E-2</v>
      </c>
      <c r="E19">
        <v>-5.0937688400395</v>
      </c>
      <c r="F19">
        <v>2.9783983217577199</v>
      </c>
    </row>
    <row r="20" spans="1:17">
      <c r="A20" s="7">
        <v>38169</v>
      </c>
      <c r="B20">
        <v>6.7103376635407397</v>
      </c>
      <c r="C20">
        <v>3.6315707328051299</v>
      </c>
      <c r="D20">
        <v>-1.7778540000509602E-2</v>
      </c>
      <c r="E20">
        <v>-4.9273393382877702</v>
      </c>
      <c r="F20">
        <v>3.2435609735056099</v>
      </c>
      <c r="I20" t="s">
        <v>33</v>
      </c>
      <c r="M20" t="s">
        <v>32</v>
      </c>
    </row>
    <row r="21" spans="1:17">
      <c r="A21" s="7">
        <v>38261</v>
      </c>
      <c r="B21">
        <v>7.24168872686516</v>
      </c>
      <c r="C21">
        <v>3.90321720868904</v>
      </c>
      <c r="D21">
        <v>1.0300195589918E-2</v>
      </c>
      <c r="E21">
        <v>-4.4478679293802097</v>
      </c>
      <c r="F21">
        <v>3.88337676627039</v>
      </c>
      <c r="I21" t="s">
        <v>31</v>
      </c>
      <c r="J21">
        <v>6.2530520999721201E-2</v>
      </c>
      <c r="M21">
        <v>-335.24629404443198</v>
      </c>
    </row>
    <row r="22" spans="1:17">
      <c r="A22" s="7">
        <v>38353</v>
      </c>
      <c r="B22">
        <v>6.5480234249697604</v>
      </c>
      <c r="C22">
        <v>3.5234638787407602</v>
      </c>
      <c r="D22">
        <v>2.0193965115997501E-2</v>
      </c>
      <c r="E22">
        <v>-3.9889088911968398</v>
      </c>
      <c r="F22">
        <v>6.1717592177986704</v>
      </c>
      <c r="I22" t="s">
        <v>30</v>
      </c>
      <c r="J22">
        <v>3.65976939415621E-2</v>
      </c>
    </row>
    <row r="23" spans="1:17">
      <c r="A23" s="7">
        <v>38443</v>
      </c>
      <c r="B23">
        <v>6.2729500175738897</v>
      </c>
      <c r="C23">
        <v>3.3519867551164402</v>
      </c>
      <c r="D23">
        <v>6.2811743953003693E-2</v>
      </c>
      <c r="E23">
        <v>-3.5022940915700902</v>
      </c>
      <c r="F23">
        <v>7.3944674100840997</v>
      </c>
    </row>
    <row r="24" spans="1:17">
      <c r="A24" s="7">
        <v>38534</v>
      </c>
      <c r="B24">
        <v>6.30715529157386</v>
      </c>
      <c r="C24">
        <v>3.42555414655566</v>
      </c>
      <c r="D24">
        <v>-3.9279365846818501E-2</v>
      </c>
      <c r="E24">
        <v>-3.4384286082654398</v>
      </c>
      <c r="F24">
        <v>7.84162280409529</v>
      </c>
    </row>
    <row r="25" spans="1:17">
      <c r="A25" s="7">
        <v>38626</v>
      </c>
      <c r="B25">
        <v>6.4130753893606602</v>
      </c>
      <c r="C25">
        <v>3.4853511766796399</v>
      </c>
      <c r="D25">
        <v>-4.41436632713006E-2</v>
      </c>
      <c r="E25">
        <v>-3.1161203703841198</v>
      </c>
      <c r="F25">
        <v>7.1907548116995201</v>
      </c>
      <c r="I25" t="s">
        <v>29</v>
      </c>
    </row>
    <row r="26" spans="1:17">
      <c r="A26" s="7">
        <v>38718</v>
      </c>
      <c r="B26">
        <v>6.5302103020343196</v>
      </c>
      <c r="C26">
        <v>3.5320848740084201</v>
      </c>
      <c r="D26">
        <v>-1.3591050484802299E-2</v>
      </c>
      <c r="E26">
        <v>-2.73027303860954</v>
      </c>
      <c r="F26">
        <v>5.9070393972671704</v>
      </c>
      <c r="I26" t="s">
        <v>28</v>
      </c>
    </row>
    <row r="27" spans="1:17">
      <c r="A27" s="7">
        <v>38808</v>
      </c>
      <c r="B27">
        <v>6.5063738562742897</v>
      </c>
      <c r="C27">
        <v>3.54835923673674</v>
      </c>
      <c r="D27">
        <v>-6.7578582821665997E-2</v>
      </c>
      <c r="E27">
        <v>-2.5730600336760299</v>
      </c>
      <c r="F27">
        <v>5.4819275561724599</v>
      </c>
      <c r="I27">
        <v>2548.7464844189599</v>
      </c>
      <c r="J27">
        <v>2547.9056917134699</v>
      </c>
      <c r="K27">
        <v>2547.0651560149399</v>
      </c>
      <c r="L27">
        <v>0.84079270548862395</v>
      </c>
      <c r="M27">
        <v>0.84053569853459498</v>
      </c>
      <c r="N27">
        <v>0.84044106356309101</v>
      </c>
      <c r="O27">
        <v>0</v>
      </c>
      <c r="P27">
        <v>0</v>
      </c>
      <c r="Q27">
        <v>0</v>
      </c>
    </row>
    <row r="28" spans="1:17">
      <c r="A28" s="7">
        <v>38899</v>
      </c>
      <c r="B28">
        <v>6.3657353390785403</v>
      </c>
      <c r="C28">
        <v>3.5114577848813999</v>
      </c>
      <c r="D28">
        <v>-0.13985074440182099</v>
      </c>
      <c r="E28">
        <v>-2.4809977073027798</v>
      </c>
      <c r="F28">
        <v>5.1769660317970896</v>
      </c>
    </row>
    <row r="29" spans="1:17">
      <c r="A29" s="7">
        <v>38991</v>
      </c>
      <c r="B29">
        <v>6.57743546433466</v>
      </c>
      <c r="C29">
        <v>3.594135424544</v>
      </c>
      <c r="D29">
        <v>-8.1325321777700604E-2</v>
      </c>
      <c r="E29">
        <v>-2.1034501606509401</v>
      </c>
      <c r="F29">
        <v>4.2254055647825899</v>
      </c>
      <c r="I29" t="s">
        <v>27</v>
      </c>
    </row>
    <row r="30" spans="1:17">
      <c r="A30" s="7">
        <v>39083</v>
      </c>
      <c r="B30">
        <v>7.2109002674591602</v>
      </c>
      <c r="C30">
        <v>3.91182838959327</v>
      </c>
      <c r="D30">
        <v>-3.6441973666742698E-2</v>
      </c>
      <c r="E30">
        <v>-1.69456638275551</v>
      </c>
      <c r="F30">
        <v>3.2384200682605302</v>
      </c>
      <c r="I30">
        <v>1.84097290443843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>
      <c r="A31" s="7">
        <v>39173</v>
      </c>
      <c r="B31">
        <v>7.1466536847244404</v>
      </c>
      <c r="C31">
        <v>3.8563761192918702</v>
      </c>
      <c r="D31">
        <v>2.0464158153190499E-3</v>
      </c>
      <c r="E31">
        <v>-1.33130489844052</v>
      </c>
      <c r="F31">
        <v>2.5982808710634102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7">
        <v>39264</v>
      </c>
      <c r="B32">
        <v>6.9184471108316696</v>
      </c>
      <c r="C32">
        <v>3.7214169043590002</v>
      </c>
      <c r="D32">
        <v>2.3875252937556501E-2</v>
      </c>
      <c r="E32">
        <v>-1.0764372992748601</v>
      </c>
      <c r="F32">
        <v>1.3838517953768601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7">
        <v>39356</v>
      </c>
      <c r="B33">
        <v>7.6624609087665698</v>
      </c>
      <c r="C33">
        <v>4.1280079343568499</v>
      </c>
      <c r="D33">
        <v>1.4608473839618099E-2</v>
      </c>
      <c r="E33">
        <v>-0.78036054773792796</v>
      </c>
      <c r="F33">
        <v>0.23360073693722699</v>
      </c>
      <c r="I33">
        <v>0.2</v>
      </c>
      <c r="J33">
        <v>0</v>
      </c>
      <c r="K33">
        <v>0</v>
      </c>
      <c r="L33">
        <v>0.20563429924197599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>
      <c r="A34" s="7">
        <v>39448</v>
      </c>
      <c r="B34">
        <v>7.66378813028554</v>
      </c>
      <c r="C34">
        <v>4.1221762225928602</v>
      </c>
      <c r="D34">
        <v>2.6739955360797599E-2</v>
      </c>
      <c r="E34">
        <v>-0.45445837374700199</v>
      </c>
      <c r="F34">
        <v>0.167064079748622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>
      <c r="A35" s="7">
        <v>39539</v>
      </c>
      <c r="B35">
        <v>8.0376580047055803</v>
      </c>
      <c r="C35">
        <v>4.2816446911839501</v>
      </c>
      <c r="D35">
        <v>0.10516676494126501</v>
      </c>
      <c r="E35">
        <v>1.39761102363991E-2</v>
      </c>
      <c r="F35">
        <v>0.13032546914495499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>
      <c r="A36" s="7">
        <v>39630</v>
      </c>
      <c r="B36">
        <v>8.2442954594982396</v>
      </c>
      <c r="C36">
        <v>4.3961396587687602</v>
      </c>
      <c r="D36">
        <v>9.9682385048855501E-2</v>
      </c>
      <c r="E36">
        <v>0.32930640440417802</v>
      </c>
      <c r="F36">
        <v>0.99115587256975601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0.35206462602712502</v>
      </c>
      <c r="P36">
        <v>0.2</v>
      </c>
      <c r="Q36">
        <v>0</v>
      </c>
    </row>
    <row r="37" spans="1:17">
      <c r="A37" s="7">
        <v>39722</v>
      </c>
      <c r="B37">
        <v>6.9196879607137998</v>
      </c>
      <c r="C37">
        <v>3.6971714875667101</v>
      </c>
      <c r="D37">
        <v>7.0034952976795906E-2</v>
      </c>
      <c r="E37">
        <v>0.31689915885999698</v>
      </c>
      <c r="F37">
        <v>2.8868291893114799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>
      <c r="A38" s="7">
        <v>39814</v>
      </c>
      <c r="B38">
        <v>7.0581835381408498</v>
      </c>
      <c r="C38">
        <v>3.7548346673117301</v>
      </c>
      <c r="D38">
        <v>0.101699464032053</v>
      </c>
      <c r="E38">
        <v>0.36885833966380199</v>
      </c>
      <c r="F38">
        <v>1.3757226297162799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>
      <c r="A39" s="7">
        <v>39904</v>
      </c>
      <c r="B39">
        <v>7.77891830472121</v>
      </c>
      <c r="C39">
        <v>4.14234142050086</v>
      </c>
      <c r="D39">
        <v>0.104510594549966</v>
      </c>
      <c r="E39">
        <v>0.45260035737965199</v>
      </c>
      <c r="F39">
        <v>-1.6103361156704299</v>
      </c>
    </row>
    <row r="40" spans="1:17">
      <c r="A40" s="7">
        <v>39995</v>
      </c>
      <c r="B40">
        <v>8.2047332648603</v>
      </c>
      <c r="C40">
        <v>4.41502079166073</v>
      </c>
      <c r="D40">
        <v>2.51396088669208E-2</v>
      </c>
      <c r="E40">
        <v>0.47532670228565599</v>
      </c>
      <c r="F40">
        <v>-3.29257087256501</v>
      </c>
    </row>
    <row r="41" spans="1:17">
      <c r="A41" s="7">
        <v>40087</v>
      </c>
      <c r="B41">
        <v>7.9558352258932397</v>
      </c>
      <c r="C41">
        <v>4.2881354414993904</v>
      </c>
      <c r="D41">
        <v>1.13187426231593E-2</v>
      </c>
      <c r="E41">
        <v>0.56442596710894599</v>
      </c>
      <c r="F41">
        <v>-2.9840748583557701</v>
      </c>
    </row>
    <row r="42" spans="1:17">
      <c r="A42" s="7">
        <v>40179</v>
      </c>
      <c r="B42">
        <v>8.2801313973104396</v>
      </c>
      <c r="C42">
        <v>4.3975909909288902</v>
      </c>
      <c r="D42">
        <v>0.13282947769134801</v>
      </c>
      <c r="E42">
        <v>0.90894667865723</v>
      </c>
      <c r="F42">
        <v>-3.4233590718799398</v>
      </c>
    </row>
    <row r="43" spans="1:17">
      <c r="A43" s="7">
        <v>40269</v>
      </c>
      <c r="B43">
        <v>8.0865139886245103</v>
      </c>
      <c r="C43">
        <v>4.26490626080066</v>
      </c>
      <c r="D43">
        <v>0.18503360145528899</v>
      </c>
      <c r="E43">
        <v>1.0965769125323299</v>
      </c>
      <c r="F43">
        <v>-2.8195987980348201</v>
      </c>
    </row>
    <row r="44" spans="1:17">
      <c r="A44" s="7">
        <v>40360</v>
      </c>
      <c r="B44">
        <v>8.4141026558041592</v>
      </c>
      <c r="C44">
        <v>4.48941062205654</v>
      </c>
      <c r="D44">
        <v>9.6688904846479101E-2</v>
      </c>
      <c r="E44">
        <v>1.1478133955265499</v>
      </c>
      <c r="F44">
        <v>-2.2051600752755798</v>
      </c>
    </row>
    <row r="45" spans="1:17">
      <c r="A45" s="7">
        <v>40452</v>
      </c>
      <c r="B45">
        <v>8.8722858494596295</v>
      </c>
      <c r="C45">
        <v>4.6854410935074302</v>
      </c>
      <c r="D45">
        <v>0.191691566331021</v>
      </c>
      <c r="E45">
        <v>1.5040025210332699</v>
      </c>
      <c r="F45">
        <v>-3.0863352857624999</v>
      </c>
    </row>
    <row r="46" spans="1:17">
      <c r="A46" s="7">
        <v>40544</v>
      </c>
      <c r="B46">
        <v>8.7926870213948103</v>
      </c>
      <c r="C46">
        <v>4.6530103099705498</v>
      </c>
      <c r="D46">
        <v>0.172176403506964</v>
      </c>
      <c r="E46">
        <v>1.6406712598186499</v>
      </c>
      <c r="F46">
        <v>-2.5446663468774098</v>
      </c>
    </row>
    <row r="47" spans="1:17">
      <c r="A47" s="7">
        <v>40634</v>
      </c>
      <c r="B47">
        <v>8.73062958468579</v>
      </c>
      <c r="C47">
        <v>4.6006717565982003</v>
      </c>
      <c r="D47">
        <v>0.207085237021849</v>
      </c>
      <c r="E47">
        <v>1.7959096810145601</v>
      </c>
      <c r="F47">
        <v>-1.87083198509691</v>
      </c>
    </row>
    <row r="48" spans="1:17">
      <c r="A48" s="7">
        <v>40725</v>
      </c>
      <c r="B48">
        <v>7.9410160838200898</v>
      </c>
      <c r="C48">
        <v>4.2223156748920001</v>
      </c>
      <c r="D48">
        <v>0.11844216226969299</v>
      </c>
      <c r="E48">
        <v>1.60401862583967</v>
      </c>
      <c r="F48">
        <v>-0.97045458257205697</v>
      </c>
    </row>
    <row r="49" spans="1:6">
      <c r="A49" s="7">
        <v>40817</v>
      </c>
      <c r="B49">
        <v>7.8425009587057799</v>
      </c>
      <c r="C49">
        <v>4.12701831668483</v>
      </c>
      <c r="D49">
        <v>0.196481962581007</v>
      </c>
      <c r="E49">
        <v>1.57564035268115</v>
      </c>
      <c r="F49">
        <v>-1.86344202076466</v>
      </c>
    </row>
    <row r="50" spans="1:6">
      <c r="A50" s="7">
        <v>40909</v>
      </c>
      <c r="B50">
        <v>7.6428412974393698</v>
      </c>
      <c r="C50">
        <v>4.0505624878238597</v>
      </c>
      <c r="D50">
        <v>0.138470017650657</v>
      </c>
      <c r="E50">
        <v>1.31689285845459</v>
      </c>
      <c r="F50">
        <v>-2.74623793731647</v>
      </c>
    </row>
    <row r="51" spans="1:6">
      <c r="A51" s="7">
        <v>41000</v>
      </c>
      <c r="B51">
        <v>7.9205530758197602</v>
      </c>
      <c r="C51">
        <v>4.22513900073917</v>
      </c>
      <c r="D51">
        <v>9.2748452245948895E-2</v>
      </c>
      <c r="E51">
        <v>1.14517883197141</v>
      </c>
      <c r="F51">
        <v>-4.2788535117866404</v>
      </c>
    </row>
    <row r="52" spans="1:6">
      <c r="A52" s="7">
        <v>41091</v>
      </c>
      <c r="B52">
        <v>7.9149429368222197</v>
      </c>
      <c r="C52">
        <v>4.2925959409536496</v>
      </c>
      <c r="D52">
        <v>-3.7837397233703503E-2</v>
      </c>
      <c r="E52">
        <v>0.91413295934944505</v>
      </c>
      <c r="F52">
        <v>-5.1156317113137701</v>
      </c>
    </row>
    <row r="53" spans="1:6">
      <c r="A53" s="7">
        <v>41183</v>
      </c>
      <c r="B53">
        <v>8.0567526384288399</v>
      </c>
      <c r="C53">
        <v>4.3085245414691196</v>
      </c>
      <c r="D53">
        <v>7.4461802413049699E-2</v>
      </c>
      <c r="E53">
        <v>1.04661497309235</v>
      </c>
      <c r="F53">
        <v>-5.6980536594491902</v>
      </c>
    </row>
    <row r="54" spans="1:6">
      <c r="A54" s="7">
        <v>41275</v>
      </c>
      <c r="B54">
        <v>8.0222913506586</v>
      </c>
      <c r="C54">
        <v>4.2337896006198799</v>
      </c>
      <c r="D54">
        <v>0.17845998672640401</v>
      </c>
      <c r="E54">
        <v>1.18650331393792</v>
      </c>
      <c r="F54">
        <v>-5.91270043409469</v>
      </c>
    </row>
    <row r="55" spans="1:6">
      <c r="A55" s="7">
        <v>41365</v>
      </c>
      <c r="B55">
        <v>7.9048650275679302</v>
      </c>
      <c r="C55">
        <v>4.2075943290426601</v>
      </c>
      <c r="D55">
        <v>0.109564958803088</v>
      </c>
      <c r="E55">
        <v>1.1480238998337899</v>
      </c>
      <c r="F55">
        <v>-5.5418361115745798</v>
      </c>
    </row>
    <row r="56" spans="1:6">
      <c r="A56" s="7">
        <v>41456</v>
      </c>
      <c r="B56">
        <v>7.4761074266165304</v>
      </c>
      <c r="C56">
        <v>4.0773432607113804</v>
      </c>
      <c r="D56">
        <v>-7.7879891317947494E-2</v>
      </c>
      <c r="E56">
        <v>0.96335977315811805</v>
      </c>
      <c r="F56">
        <v>-4.1170113261698802</v>
      </c>
    </row>
    <row r="57" spans="1:6">
      <c r="A57" s="7">
        <v>41548</v>
      </c>
      <c r="B57">
        <v>7.0471881046027596</v>
      </c>
      <c r="C57">
        <v>3.8099906135915802</v>
      </c>
      <c r="D57">
        <v>-1.1481949951054201E-2</v>
      </c>
      <c r="E57">
        <v>1.0307332805068701</v>
      </c>
      <c r="F57">
        <v>-2.5723503187078101</v>
      </c>
    </row>
    <row r="58" spans="1:6">
      <c r="A58" s="7">
        <v>41640</v>
      </c>
      <c r="B58">
        <v>7.6178384559924197</v>
      </c>
      <c r="C58">
        <v>4.0362211055020696</v>
      </c>
      <c r="D58">
        <v>0.14003708049024199</v>
      </c>
      <c r="E58">
        <v>1.2955665248555299</v>
      </c>
      <c r="F58">
        <v>-2.2743121505607999</v>
      </c>
    </row>
    <row r="59" spans="1:6">
      <c r="A59" s="7">
        <v>41730</v>
      </c>
      <c r="B59">
        <v>6.8776975008050698</v>
      </c>
      <c r="C59">
        <v>3.6003784931423701</v>
      </c>
      <c r="D59">
        <v>0.20737034463221199</v>
      </c>
      <c r="E59">
        <v>1.2788298093068999</v>
      </c>
      <c r="F59">
        <v>-1.37227493515099</v>
      </c>
    </row>
    <row r="60" spans="1:6">
      <c r="A60" s="7">
        <v>41821</v>
      </c>
      <c r="B60">
        <v>6.4128606434146098</v>
      </c>
      <c r="C60">
        <v>3.4325371386096299</v>
      </c>
      <c r="D60">
        <v>5.3488779081486498E-2</v>
      </c>
      <c r="E60">
        <v>0.94060191495145795</v>
      </c>
      <c r="F60">
        <v>-1.2806087210458299</v>
      </c>
    </row>
    <row r="61" spans="1:6">
      <c r="A61" s="7">
        <v>41913</v>
      </c>
      <c r="B61">
        <v>6.7564201009757197</v>
      </c>
      <c r="C61">
        <v>3.6145666736335502</v>
      </c>
      <c r="D61">
        <v>5.9806873544731499E-2</v>
      </c>
      <c r="E61">
        <v>0.86099802394255698</v>
      </c>
      <c r="F61">
        <v>-1.4896548212630101</v>
      </c>
    </row>
    <row r="62" spans="1:6">
      <c r="A62" s="7">
        <v>42005</v>
      </c>
      <c r="B62">
        <v>6.0983637256606498</v>
      </c>
      <c r="C62">
        <v>3.10055695903017</v>
      </c>
      <c r="D62">
        <v>0.354042865375508</v>
      </c>
      <c r="E62">
        <v>0.92343921853353095</v>
      </c>
      <c r="F62">
        <v>-0.355463715800863</v>
      </c>
    </row>
    <row r="63" spans="1:6">
      <c r="A63" s="7">
        <v>42095</v>
      </c>
      <c r="B63">
        <v>4.9874430084493202</v>
      </c>
      <c r="C63">
        <v>2.4693004925060502</v>
      </c>
      <c r="D63">
        <v>0.41263450893005199</v>
      </c>
      <c r="E63">
        <v>0.50950014155023404</v>
      </c>
      <c r="F63">
        <v>1.2863822947228101</v>
      </c>
    </row>
    <row r="64" spans="1:6">
      <c r="A64" s="7">
        <v>42186</v>
      </c>
      <c r="B64">
        <v>4.0263811357199204</v>
      </c>
      <c r="C64">
        <v>1.9924537711566199</v>
      </c>
      <c r="D64">
        <v>0.33501409681579802</v>
      </c>
      <c r="E64">
        <v>-0.18626348886618899</v>
      </c>
      <c r="F64">
        <v>2.5250420817947901</v>
      </c>
    </row>
    <row r="65" spans="1:6">
      <c r="A65" s="7">
        <v>42278</v>
      </c>
      <c r="B65">
        <v>3.7926263787375198</v>
      </c>
      <c r="C65">
        <v>1.8418971429761199</v>
      </c>
      <c r="D65">
        <v>0.38019167081111799</v>
      </c>
      <c r="E65">
        <v>-0.73910420866877802</v>
      </c>
      <c r="F65">
        <v>2.31041112182568</v>
      </c>
    </row>
    <row r="66" spans="1:6">
      <c r="A66" s="7">
        <v>42370</v>
      </c>
      <c r="B66">
        <v>3.1610701274057802</v>
      </c>
      <c r="C66">
        <v>1.37383352253644</v>
      </c>
      <c r="D66">
        <v>0.61580465854190902</v>
      </c>
      <c r="E66">
        <v>-1.1839954610964001</v>
      </c>
      <c r="F66">
        <v>2.53869771448176</v>
      </c>
    </row>
    <row r="67" spans="1:6">
      <c r="A67" s="7">
        <v>42461</v>
      </c>
      <c r="B67">
        <v>3.1118454698687499</v>
      </c>
      <c r="C67">
        <v>1.4801486208588499</v>
      </c>
      <c r="D67">
        <v>0.36961279636182998</v>
      </c>
      <c r="E67">
        <v>-2.0167570052199202</v>
      </c>
      <c r="F67">
        <v>2.82133474524018</v>
      </c>
    </row>
    <row r="68" spans="1:6">
      <c r="A68" s="7">
        <v>42552</v>
      </c>
      <c r="B68">
        <v>2.7905085946500501</v>
      </c>
      <c r="C68">
        <v>1.4117599742281799</v>
      </c>
      <c r="D68">
        <v>0.17497777975697401</v>
      </c>
      <c r="E68">
        <v>-2.7102359879104401</v>
      </c>
      <c r="F68">
        <v>3.5501591717765799</v>
      </c>
    </row>
    <row r="69" spans="1:6">
      <c r="A69" s="7">
        <v>42644</v>
      </c>
      <c r="B69">
        <v>2.5021017483396402</v>
      </c>
      <c r="C69">
        <v>1.34519769808499</v>
      </c>
      <c r="D69">
        <v>9.8891231814215996E-3</v>
      </c>
      <c r="E69">
        <v>-3.2768078736439699</v>
      </c>
      <c r="F69">
        <v>4.32997384859687</v>
      </c>
    </row>
    <row r="70" spans="1:6">
      <c r="A70" s="7">
        <v>42736</v>
      </c>
      <c r="B70">
        <v>2.77352212568085</v>
      </c>
      <c r="C70">
        <v>1.5475688029100501</v>
      </c>
      <c r="D70">
        <v>-9.3618157419556494E-2</v>
      </c>
      <c r="E70">
        <v>-3.5883873699967799</v>
      </c>
      <c r="F70">
        <v>4.2724562253288001</v>
      </c>
    </row>
    <row r="71" spans="1:6">
      <c r="A71" s="7">
        <v>42826</v>
      </c>
      <c r="B71">
        <v>3.1580684291429502</v>
      </c>
      <c r="C71">
        <v>1.7955021035903</v>
      </c>
      <c r="D71">
        <v>-0.16841140161807699</v>
      </c>
      <c r="E71">
        <v>-3.68625285120015</v>
      </c>
      <c r="F71">
        <v>3.1446915160000901</v>
      </c>
    </row>
    <row r="72" spans="1:6">
      <c r="A72" s="7">
        <v>42917</v>
      </c>
      <c r="B72">
        <v>3.1750661552917601</v>
      </c>
      <c r="C72">
        <v>1.90017191672663</v>
      </c>
      <c r="D72">
        <v>-0.34533270323943299</v>
      </c>
      <c r="E72">
        <v>-3.7691735463376999</v>
      </c>
      <c r="F72">
        <v>2.3163068047753299</v>
      </c>
    </row>
    <row r="73" spans="1:6">
      <c r="A73" s="7">
        <v>43009</v>
      </c>
      <c r="B73">
        <v>3.1033826553683501</v>
      </c>
      <c r="C73">
        <v>1.8031070847625701</v>
      </c>
      <c r="D73">
        <v>-0.237186725291991</v>
      </c>
      <c r="E73">
        <v>-3.4996050717386402</v>
      </c>
      <c r="F73">
        <v>1.16370391264912</v>
      </c>
    </row>
    <row r="74" spans="1:6">
      <c r="A74" s="7">
        <v>43101</v>
      </c>
      <c r="B74">
        <v>3.4530744822562101</v>
      </c>
      <c r="C74">
        <v>1.8982354620230699</v>
      </c>
      <c r="D74">
        <v>-6.3736757245355699E-2</v>
      </c>
      <c r="E74">
        <v>-3.0382158746019701</v>
      </c>
      <c r="F74">
        <v>0.15331683530134299</v>
      </c>
    </row>
    <row r="75" spans="1:6">
      <c r="A75" s="7">
        <v>43191</v>
      </c>
      <c r="B75">
        <v>3.0800846505037698</v>
      </c>
      <c r="C75">
        <v>1.6921688610519301</v>
      </c>
      <c r="D75">
        <v>-5.4952381909262202E-2</v>
      </c>
      <c r="E75">
        <v>-2.74943054476398</v>
      </c>
      <c r="F75">
        <v>0.20865548016266</v>
      </c>
    </row>
    <row r="76" spans="1:6">
      <c r="A76" s="7">
        <v>43282</v>
      </c>
      <c r="B76">
        <v>3.08974116111701</v>
      </c>
      <c r="C76">
        <v>1.6578447592696099</v>
      </c>
      <c r="D76">
        <v>1.8295495185570401E-2</v>
      </c>
      <c r="E76">
        <v>-2.3332392120741998</v>
      </c>
      <c r="F76">
        <v>-0.191628537845354</v>
      </c>
    </row>
    <row r="77" spans="1:6">
      <c r="A77" s="7">
        <v>43374</v>
      </c>
      <c r="B77">
        <v>2.79525952909158</v>
      </c>
      <c r="C77">
        <v>1.4680524408179501</v>
      </c>
      <c r="D77">
        <v>7.5437132272650406E-2</v>
      </c>
      <c r="E77">
        <v>-1.9526296687054101</v>
      </c>
      <c r="F77">
        <v>-0.144558660438102</v>
      </c>
    </row>
    <row r="78" spans="1:6">
      <c r="A78" s="7">
        <v>43466</v>
      </c>
      <c r="B78">
        <v>3.2603780971645002</v>
      </c>
      <c r="C78">
        <v>1.71102825883989</v>
      </c>
      <c r="D78">
        <v>9.0400751266721799E-2</v>
      </c>
      <c r="E78">
        <v>-1.48395413013623</v>
      </c>
      <c r="F78">
        <v>-0.58922228614640104</v>
      </c>
    </row>
    <row r="79" spans="1:6">
      <c r="A79" s="7">
        <v>43556</v>
      </c>
      <c r="B79">
        <v>2.96755535021757</v>
      </c>
      <c r="C79">
        <v>1.5310069964436901</v>
      </c>
      <c r="D79">
        <v>0.13109869319654299</v>
      </c>
      <c r="E79">
        <v>-1.0515360094837001</v>
      </c>
      <c r="F79">
        <v>-0.39267119550369201</v>
      </c>
    </row>
    <row r="80" spans="1:6">
      <c r="A80" s="7">
        <v>43647</v>
      </c>
      <c r="B80">
        <v>2.6935646284722901</v>
      </c>
      <c r="C80">
        <v>1.49639994662693</v>
      </c>
      <c r="D80">
        <v>-7.8776451637191006E-2</v>
      </c>
      <c r="E80">
        <v>-0.87537371772077699</v>
      </c>
      <c r="F80">
        <v>-0.189614306618588</v>
      </c>
    </row>
    <row r="81" spans="1:6">
      <c r="A81" s="7">
        <v>43739</v>
      </c>
      <c r="B81">
        <v>2.5097996287209399</v>
      </c>
      <c r="C81">
        <v>1.40695699309129</v>
      </c>
      <c r="D81">
        <v>-9.6832828521939696E-2</v>
      </c>
      <c r="E81">
        <v>-0.54865814475988395</v>
      </c>
      <c r="F81">
        <v>-0.69118730354971303</v>
      </c>
    </row>
    <row r="82" spans="1:6">
      <c r="A82" s="7">
        <v>43831</v>
      </c>
      <c r="B82">
        <v>3.06650221269122</v>
      </c>
      <c r="C82">
        <v>1.59634931336304</v>
      </c>
      <c r="D82">
        <v>0.108987552511759</v>
      </c>
      <c r="E82">
        <v>5.3313059566247697E-2</v>
      </c>
      <c r="F82">
        <v>-2.0385161740680098</v>
      </c>
    </row>
    <row r="83" spans="1:6">
      <c r="A83" s="7">
        <v>43922</v>
      </c>
      <c r="B83">
        <v>2.7670164516996398</v>
      </c>
      <c r="C83">
        <v>1.5219128265326001</v>
      </c>
      <c r="D83">
        <v>-5.2591674358228598E-2</v>
      </c>
      <c r="E83">
        <v>0.23612552903495801</v>
      </c>
      <c r="F83">
        <v>-2.5175450656437199</v>
      </c>
    </row>
    <row r="84" spans="1:6">
      <c r="A84" s="7">
        <v>44013</v>
      </c>
      <c r="B84">
        <v>5.1802801032655896</v>
      </c>
      <c r="C84">
        <v>2.8500805812163499</v>
      </c>
      <c r="D84">
        <v>-9.9989716804303394E-2</v>
      </c>
      <c r="E84">
        <v>0.998717695555698</v>
      </c>
      <c r="F84">
        <v>-6.02263608231645</v>
      </c>
    </row>
    <row r="85" spans="1:6">
      <c r="A85" s="7">
        <v>44105</v>
      </c>
      <c r="B85">
        <v>4.9043467959562701</v>
      </c>
      <c r="C85">
        <v>2.7115180695263601</v>
      </c>
      <c r="D85">
        <v>-0.11921187935101001</v>
      </c>
      <c r="E85">
        <v>1.64042308041577</v>
      </c>
      <c r="F85">
        <v>-5.8547362787102104</v>
      </c>
    </row>
    <row r="86" spans="1:6">
      <c r="A86" s="7">
        <v>44197</v>
      </c>
      <c r="B86">
        <v>5.3398865002656803</v>
      </c>
      <c r="C86">
        <v>2.8855654269024602</v>
      </c>
      <c r="D86">
        <v>-6.1251661860557997E-3</v>
      </c>
      <c r="E86">
        <v>2.4244269921058601</v>
      </c>
      <c r="F86">
        <v>-6.0598835886034701</v>
      </c>
    </row>
    <row r="87" spans="1:6">
      <c r="A87" s="7">
        <v>44287</v>
      </c>
      <c r="B87">
        <v>3.6702287818446702</v>
      </c>
      <c r="C87">
        <v>1.9115987742353999</v>
      </c>
      <c r="D87">
        <v>0.12865968299134101</v>
      </c>
      <c r="E87">
        <v>2.7884142986878699</v>
      </c>
      <c r="F87">
        <v>-3.5868300784584002</v>
      </c>
    </row>
    <row r="88" spans="1:6">
      <c r="A88" s="7">
        <v>44378</v>
      </c>
      <c r="B88">
        <v>3.6398218466514201</v>
      </c>
      <c r="C88">
        <v>1.7998517121369899</v>
      </c>
      <c r="D88">
        <v>0.30528360979142599</v>
      </c>
      <c r="E88">
        <v>3.1103444874806701</v>
      </c>
      <c r="F88">
        <v>-2.6769252182795999</v>
      </c>
    </row>
    <row r="89" spans="1:6">
      <c r="A89" s="7">
        <v>44470</v>
      </c>
      <c r="B89">
        <v>3.2397259261794602</v>
      </c>
      <c r="C89">
        <v>1.56849219131008</v>
      </c>
      <c r="D89">
        <v>0.33382142811951598</v>
      </c>
      <c r="E89">
        <v>3.1192758604452102</v>
      </c>
      <c r="F89">
        <v>-0.330144256203867</v>
      </c>
    </row>
    <row r="90" spans="1:6">
      <c r="A90" s="7">
        <v>44562</v>
      </c>
      <c r="B90">
        <v>2.9113205106317701</v>
      </c>
      <c r="C90">
        <v>1.2598623382226499</v>
      </c>
      <c r="D90">
        <v>0.577206476873245</v>
      </c>
      <c r="E90">
        <v>3.1258666478801902</v>
      </c>
      <c r="F90">
        <v>1.73535444364272</v>
      </c>
    </row>
    <row r="91" spans="1:6">
      <c r="A91" s="7">
        <v>44652</v>
      </c>
      <c r="B91">
        <v>3.5286314961287801</v>
      </c>
      <c r="C91">
        <v>1.3421314718306301</v>
      </c>
      <c r="D91">
        <v>1.04209958823136</v>
      </c>
      <c r="E91">
        <v>3.2669325993395502</v>
      </c>
      <c r="F91">
        <v>1.80377233445199</v>
      </c>
    </row>
    <row r="92" spans="1:6">
      <c r="A92" s="7">
        <v>44743</v>
      </c>
      <c r="B92">
        <v>2.72797466334023</v>
      </c>
      <c r="C92">
        <v>1.32778410309909</v>
      </c>
      <c r="D92">
        <v>0.26802375059426897</v>
      </c>
      <c r="E92">
        <v>2.1285937704904101</v>
      </c>
      <c r="F92">
        <v>3.7901271283132201</v>
      </c>
    </row>
    <row r="93" spans="1:6">
      <c r="A93" s="7">
        <v>44835</v>
      </c>
      <c r="B93">
        <v>2.2648626658268198</v>
      </c>
      <c r="C93">
        <v>1.30743030639788</v>
      </c>
      <c r="D93">
        <v>-0.15737929961655001</v>
      </c>
      <c r="E93">
        <v>1.23283562805124</v>
      </c>
      <c r="F93">
        <v>5.05540052195275</v>
      </c>
    </row>
    <row r="94" spans="1:6">
      <c r="A94" s="7">
        <v>44927</v>
      </c>
      <c r="B94">
        <v>2.3771430406921401</v>
      </c>
      <c r="C94">
        <v>1.39330143154312</v>
      </c>
      <c r="D94">
        <v>-0.204190114490967</v>
      </c>
      <c r="E94">
        <v>0.66141434075806504</v>
      </c>
      <c r="F94">
        <v>5.8500068366124598</v>
      </c>
    </row>
    <row r="95" spans="1:6">
      <c r="A95" s="7">
        <v>45017</v>
      </c>
      <c r="B95">
        <v>2.4553010942125901</v>
      </c>
      <c r="C95">
        <v>1.44827186115835</v>
      </c>
      <c r="D95">
        <v>-0.227874339538541</v>
      </c>
      <c r="E95">
        <v>8.08066430333549E-2</v>
      </c>
      <c r="F95">
        <v>7.3066744880158501</v>
      </c>
    </row>
    <row r="96" spans="1:6">
      <c r="A96" s="7">
        <v>45108</v>
      </c>
      <c r="B96">
        <v>2.4402533559342401</v>
      </c>
      <c r="C96">
        <v>1.5548367217016099</v>
      </c>
      <c r="D96">
        <v>-0.44035201040021299</v>
      </c>
      <c r="E96">
        <v>-0.67431578098362999</v>
      </c>
      <c r="F96">
        <v>7.5733639862857798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13A7-1B85-4ED4-B891-9A3745504955}">
  <sheetPr>
    <tabColor theme="9" tint="0.59999389629810485"/>
  </sheetPr>
  <dimension ref="A1:AD71"/>
  <sheetViews>
    <sheetView workbookViewId="0">
      <selection activeCell="J36" sqref="J36"/>
    </sheetView>
  </sheetViews>
  <sheetFormatPr defaultRowHeight="14.25"/>
  <sheetData>
    <row r="1" spans="1:30">
      <c r="A1" t="s">
        <v>38</v>
      </c>
      <c r="B1" t="s">
        <v>44</v>
      </c>
      <c r="C1" t="s">
        <v>35</v>
      </c>
      <c r="D1" t="s">
        <v>43</v>
      </c>
      <c r="E1" t="s">
        <v>42</v>
      </c>
      <c r="F1" t="s">
        <v>41</v>
      </c>
      <c r="G1" t="s">
        <v>47</v>
      </c>
      <c r="H1" t="s">
        <v>46</v>
      </c>
      <c r="I1" t="s">
        <v>45</v>
      </c>
      <c r="K1" t="s">
        <v>40</v>
      </c>
      <c r="Z1" t="s">
        <v>39</v>
      </c>
      <c r="AA1" t="s">
        <v>38</v>
      </c>
      <c r="AB1" t="s">
        <v>37</v>
      </c>
      <c r="AC1" t="s">
        <v>36</v>
      </c>
      <c r="AD1" t="s">
        <v>35</v>
      </c>
    </row>
    <row r="2" spans="1:30">
      <c r="A2" s="7">
        <v>38718</v>
      </c>
      <c r="B2">
        <v>3.8792782251448199</v>
      </c>
      <c r="C2">
        <v>4.3625242160293496</v>
      </c>
      <c r="D2">
        <v>1.8484498067297999E-2</v>
      </c>
      <c r="E2">
        <v>-1.4517764751481099</v>
      </c>
      <c r="F2">
        <v>-1.3999748408622801</v>
      </c>
      <c r="G2">
        <v>5.9220548026984128</v>
      </c>
      <c r="H2">
        <v>5.3317142972961529</v>
      </c>
      <c r="I2">
        <f>G2-H2</f>
        <v>0.59034050540225991</v>
      </c>
      <c r="K2" t="s">
        <v>34</v>
      </c>
    </row>
    <row r="3" spans="1:30">
      <c r="A3" s="7">
        <v>38808</v>
      </c>
      <c r="B3">
        <v>3.6222903770386599</v>
      </c>
      <c r="C3">
        <v>4.1061382192989804</v>
      </c>
      <c r="D3">
        <v>-1.1604105732066701E-2</v>
      </c>
      <c r="E3">
        <v>-1.19062584713447</v>
      </c>
      <c r="F3">
        <v>-0.85872709066588904</v>
      </c>
      <c r="G3">
        <v>6.1756751528813556</v>
      </c>
      <c r="H3">
        <v>4.4750050602835101</v>
      </c>
      <c r="I3">
        <f>G3-H3</f>
        <v>1.7006700925978455</v>
      </c>
      <c r="K3" t="s">
        <v>5</v>
      </c>
      <c r="L3" t="s">
        <v>7</v>
      </c>
      <c r="M3" t="s">
        <v>9</v>
      </c>
      <c r="N3" t="s">
        <v>10</v>
      </c>
      <c r="O3" t="s">
        <v>12</v>
      </c>
      <c r="P3" t="s">
        <v>14</v>
      </c>
      <c r="Q3" t="s">
        <v>16</v>
      </c>
      <c r="R3" t="s">
        <v>18</v>
      </c>
      <c r="S3" t="s">
        <v>20</v>
      </c>
      <c r="T3" t="s">
        <v>22</v>
      </c>
      <c r="U3" t="s">
        <v>24</v>
      </c>
    </row>
    <row r="4" spans="1:30">
      <c r="A4" s="7">
        <v>38899</v>
      </c>
      <c r="B4">
        <v>3.8336539283854298</v>
      </c>
      <c r="C4">
        <v>4.2389991090076702</v>
      </c>
      <c r="D4">
        <v>8.2178782640617301E-2</v>
      </c>
      <c r="E4">
        <v>-0.33326598635881099</v>
      </c>
      <c r="F4">
        <v>-0.98575863858392898</v>
      </c>
      <c r="G4">
        <v>6.6607508908196724</v>
      </c>
      <c r="H4">
        <v>3.8155400180669208</v>
      </c>
      <c r="I4">
        <f>G4-H4</f>
        <v>2.8452108727527516</v>
      </c>
    </row>
    <row r="5" spans="1:30">
      <c r="A5" s="7">
        <v>38991</v>
      </c>
      <c r="B5">
        <v>4.1263651011528202</v>
      </c>
      <c r="C5">
        <v>4.4488698370094104</v>
      </c>
      <c r="D5">
        <v>0.18915629525108299</v>
      </c>
      <c r="E5">
        <v>0.14901887852011</v>
      </c>
      <c r="F5">
        <v>-1.1557587839335499</v>
      </c>
      <c r="G5">
        <v>7.2087983672881357</v>
      </c>
      <c r="H5">
        <v>3.3305088246288639</v>
      </c>
      <c r="I5">
        <f>G5-H5</f>
        <v>3.8782895426592718</v>
      </c>
      <c r="K5">
        <v>0.60007196021187104</v>
      </c>
      <c r="L5">
        <v>0.18127250456209701</v>
      </c>
      <c r="M5">
        <v>-0.19200927827001299</v>
      </c>
      <c r="N5">
        <v>0.24272758776942599</v>
      </c>
      <c r="O5">
        <v>0.32005018034851002</v>
      </c>
      <c r="P5">
        <v>1.5721290827774199</v>
      </c>
      <c r="Q5">
        <v>2.2003008414569698</v>
      </c>
      <c r="R5">
        <v>0.16745895335184399</v>
      </c>
      <c r="S5">
        <v>-0.207549581894099</v>
      </c>
      <c r="T5">
        <v>0.88499078420967703</v>
      </c>
      <c r="U5">
        <v>0.78134446477396702</v>
      </c>
    </row>
    <row r="6" spans="1:30">
      <c r="A6" s="7">
        <v>39083</v>
      </c>
      <c r="B6">
        <v>4.2602767811525997</v>
      </c>
      <c r="C6">
        <v>4.2302474451968601</v>
      </c>
      <c r="D6">
        <v>0.51654677722684805</v>
      </c>
      <c r="E6">
        <v>1.0327290159498299</v>
      </c>
      <c r="F6">
        <v>-1.5751120382148001</v>
      </c>
      <c r="G6">
        <v>7.7639359920967754</v>
      </c>
      <c r="H6">
        <v>8.6940310936565837</v>
      </c>
      <c r="I6">
        <f>G6-H6</f>
        <v>-0.93009510155980823</v>
      </c>
    </row>
    <row r="7" spans="1:30">
      <c r="A7" s="7">
        <v>39173</v>
      </c>
      <c r="B7">
        <v>4.3405861061038102</v>
      </c>
      <c r="C7">
        <v>4.0051099198002298</v>
      </c>
      <c r="D7">
        <v>0.79610073733384401</v>
      </c>
      <c r="E7">
        <v>1.5165942950493401</v>
      </c>
      <c r="F7">
        <v>-2.0234374054737798</v>
      </c>
      <c r="G7">
        <v>8.4566970369491532</v>
      </c>
      <c r="H7">
        <v>8.7181134089241219</v>
      </c>
      <c r="I7">
        <f>G7-H7</f>
        <v>-0.2614163719749687</v>
      </c>
    </row>
    <row r="8" spans="1:30">
      <c r="A8" s="7">
        <v>39264</v>
      </c>
      <c r="B8">
        <v>4.70640659900217</v>
      </c>
      <c r="C8">
        <v>4.4295968692324799</v>
      </c>
      <c r="D8">
        <v>0.78625419196738799</v>
      </c>
      <c r="E8">
        <v>1.77829994074636</v>
      </c>
      <c r="F8">
        <v>-1.5952985916162199</v>
      </c>
      <c r="G8">
        <v>9.1761128231147531</v>
      </c>
      <c r="H8">
        <v>3.5173659357056408</v>
      </c>
      <c r="I8">
        <f>G8-H8</f>
        <v>5.6587468874091122</v>
      </c>
    </row>
    <row r="9" spans="1:30">
      <c r="A9" s="7">
        <v>39356</v>
      </c>
      <c r="B9">
        <v>4.7370300513523897</v>
      </c>
      <c r="C9">
        <v>4.79083196577204</v>
      </c>
      <c r="D9">
        <v>0.49718791294700698</v>
      </c>
      <c r="E9">
        <v>1.35394886753465</v>
      </c>
      <c r="F9">
        <v>-1.44829058402747</v>
      </c>
      <c r="G9">
        <v>9.2672725260655735</v>
      </c>
      <c r="H9">
        <v>2.9846217966762678</v>
      </c>
      <c r="I9">
        <f>G9-H9</f>
        <v>6.2826507293893057</v>
      </c>
    </row>
    <row r="10" spans="1:30">
      <c r="A10" s="7">
        <v>39448</v>
      </c>
      <c r="B10">
        <v>4.5162406551060803</v>
      </c>
      <c r="C10">
        <v>4.4886683556716296</v>
      </c>
      <c r="D10">
        <v>0.54381052696308396</v>
      </c>
      <c r="E10">
        <v>1.06502063529251</v>
      </c>
      <c r="F10">
        <v>-1.0014732645859601</v>
      </c>
      <c r="G10">
        <v>9.509483530333334</v>
      </c>
      <c r="H10">
        <v>8.7587634179467919</v>
      </c>
      <c r="I10">
        <f>G10-H10</f>
        <v>0.75072011238654213</v>
      </c>
    </row>
    <row r="11" spans="1:30">
      <c r="A11" s="7">
        <v>39539</v>
      </c>
      <c r="B11">
        <v>4.2726158485113501</v>
      </c>
      <c r="C11">
        <v>4.4025788053449704</v>
      </c>
      <c r="D11">
        <v>0.376374179024202</v>
      </c>
      <c r="E11">
        <v>0.82866891335652304</v>
      </c>
      <c r="F11">
        <v>-4.4304553833187703E-2</v>
      </c>
      <c r="G11">
        <v>9.6636379194999993</v>
      </c>
      <c r="H11">
        <v>6.4805553489586387</v>
      </c>
      <c r="I11">
        <f>G11-H11</f>
        <v>3.1830825705413606</v>
      </c>
    </row>
    <row r="12" spans="1:30">
      <c r="A12" s="7">
        <v>39630</v>
      </c>
      <c r="B12">
        <v>3.8801625269933799</v>
      </c>
      <c r="C12">
        <v>4.5526369470789296</v>
      </c>
      <c r="D12">
        <v>-0.14887921502395199</v>
      </c>
      <c r="E12">
        <v>0.16618793611951299</v>
      </c>
      <c r="F12">
        <v>0.67260563104902604</v>
      </c>
      <c r="G12">
        <v>9.9402703889062494</v>
      </c>
      <c r="H12">
        <v>3.3260683598736569</v>
      </c>
      <c r="I12">
        <f>G12-H12</f>
        <v>6.614202029032592</v>
      </c>
    </row>
    <row r="13" spans="1:30">
      <c r="A13" s="7">
        <v>39722</v>
      </c>
      <c r="B13">
        <v>2.57083872002167</v>
      </c>
      <c r="C13">
        <v>4.3736290926192103</v>
      </c>
      <c r="D13">
        <v>-1.29978272049765</v>
      </c>
      <c r="E13">
        <v>-2.0083546952032498</v>
      </c>
      <c r="F13">
        <v>1.4732587839470299</v>
      </c>
      <c r="G13">
        <v>9.7752281748333338</v>
      </c>
      <c r="H13">
        <v>4.3591355566794387</v>
      </c>
      <c r="I13">
        <f>G13-H13</f>
        <v>5.4160926181538951</v>
      </c>
    </row>
    <row r="14" spans="1:30">
      <c r="A14" s="7">
        <v>39814</v>
      </c>
      <c r="B14">
        <v>2.2301725359080602</v>
      </c>
      <c r="C14">
        <v>4.0787730563683304</v>
      </c>
      <c r="D14">
        <v>-1.37950402986065</v>
      </c>
      <c r="E14">
        <v>-2.0867632672379801</v>
      </c>
      <c r="F14">
        <v>0.97971150082666203</v>
      </c>
      <c r="G14">
        <v>8.5575287862295077</v>
      </c>
      <c r="H14">
        <v>7.2248197324674024</v>
      </c>
      <c r="I14">
        <f>G14-H14</f>
        <v>1.3327090537621054</v>
      </c>
    </row>
    <row r="15" spans="1:30">
      <c r="A15" s="7">
        <v>39904</v>
      </c>
      <c r="B15">
        <v>2.0560231825684601</v>
      </c>
      <c r="C15">
        <v>4.02498038846944</v>
      </c>
      <c r="D15">
        <v>-1.5060473678516699</v>
      </c>
      <c r="E15">
        <v>-2.0308260094827801</v>
      </c>
      <c r="F15">
        <v>-1.0027414707584199</v>
      </c>
      <c r="G15">
        <v>5.9955650712068964</v>
      </c>
      <c r="H15">
        <v>4.8591097885668946</v>
      </c>
      <c r="I15">
        <f>G15-H15</f>
        <v>1.1364552826400018</v>
      </c>
    </row>
    <row r="16" spans="1:30">
      <c r="A16" s="7">
        <v>39995</v>
      </c>
      <c r="B16">
        <v>1.40045968439431</v>
      </c>
      <c r="C16">
        <v>4.1333375168861197</v>
      </c>
      <c r="D16">
        <v>-2.2575059260780099</v>
      </c>
      <c r="E16">
        <v>-2.4655309680658801</v>
      </c>
      <c r="F16">
        <v>-1.70325571736561</v>
      </c>
      <c r="G16">
        <v>4.3468675699999997</v>
      </c>
      <c r="H16">
        <v>2.1555893341714372</v>
      </c>
      <c r="I16">
        <f>G16-H16</f>
        <v>2.1912782358285625</v>
      </c>
    </row>
    <row r="17" spans="1:19">
      <c r="A17" s="7">
        <v>40087</v>
      </c>
      <c r="B17">
        <v>0.39590044223877002</v>
      </c>
      <c r="C17">
        <v>4.2636114767406301</v>
      </c>
      <c r="D17">
        <v>-3.3773564221273</v>
      </c>
      <c r="E17">
        <v>-3.0624778030633002</v>
      </c>
      <c r="F17">
        <v>-0.51060230125588102</v>
      </c>
      <c r="G17">
        <v>3.7020939005</v>
      </c>
      <c r="H17">
        <v>1.0276641828627091</v>
      </c>
      <c r="I17">
        <f>G17-H17</f>
        <v>2.6744297176372909</v>
      </c>
    </row>
    <row r="18" spans="1:19">
      <c r="A18" s="7">
        <v>40179</v>
      </c>
      <c r="B18">
        <v>0.449653124426309</v>
      </c>
      <c r="C18">
        <v>4.0232458659193604</v>
      </c>
      <c r="D18">
        <v>-3.1108823895220099</v>
      </c>
      <c r="E18">
        <v>-2.4404039389037302</v>
      </c>
      <c r="F18">
        <v>-0.433154899640112</v>
      </c>
      <c r="G18">
        <v>3.3491804378688519</v>
      </c>
      <c r="H18">
        <v>5.2883655467295787</v>
      </c>
      <c r="I18">
        <f>G18-H18</f>
        <v>-1.9391851088607268</v>
      </c>
    </row>
    <row r="19" spans="1:19">
      <c r="A19" s="7">
        <v>40269</v>
      </c>
      <c r="B19">
        <v>0.41771389041468199</v>
      </c>
      <c r="C19">
        <v>3.99340257075704</v>
      </c>
      <c r="D19">
        <v>-3.1164105823445301</v>
      </c>
      <c r="E19">
        <v>-1.85699103405364</v>
      </c>
      <c r="F19">
        <v>-4.9177492370903901E-2</v>
      </c>
      <c r="G19">
        <v>3.1813728895</v>
      </c>
      <c r="H19">
        <v>2.7797269020611641</v>
      </c>
      <c r="I19">
        <f>G19-H19</f>
        <v>0.40164598743883584</v>
      </c>
    </row>
    <row r="20" spans="1:19">
      <c r="A20" s="7">
        <v>40360</v>
      </c>
      <c r="B20">
        <v>-0.11778964682321599</v>
      </c>
      <c r="C20">
        <v>4.0057032070230996</v>
      </c>
      <c r="D20">
        <v>-3.66280006931781</v>
      </c>
      <c r="E20">
        <v>-2.2297453191886198</v>
      </c>
      <c r="F20">
        <v>0.54861749122130199</v>
      </c>
      <c r="G20">
        <v>3.0369425639682541</v>
      </c>
      <c r="H20">
        <v>1.328702246627222</v>
      </c>
      <c r="I20">
        <f>G20-H20</f>
        <v>1.7082403173410321</v>
      </c>
      <c r="K20" t="s">
        <v>33</v>
      </c>
      <c r="O20" t="s">
        <v>32</v>
      </c>
    </row>
    <row r="21" spans="1:19">
      <c r="A21" s="7">
        <v>40452</v>
      </c>
      <c r="B21">
        <v>0.12468652945162</v>
      </c>
      <c r="C21">
        <v>4.1141444204812796</v>
      </c>
      <c r="D21">
        <v>-3.5162933675819801</v>
      </c>
      <c r="E21">
        <v>-1.3195755212384499</v>
      </c>
      <c r="F21">
        <v>0.26376837101133899</v>
      </c>
      <c r="G21">
        <v>3.025783482833333</v>
      </c>
      <c r="H21">
        <v>1.1525196340635311</v>
      </c>
      <c r="I21">
        <f>G21-H21</f>
        <v>1.8732638487698019</v>
      </c>
      <c r="K21" t="s">
        <v>31</v>
      </c>
      <c r="L21">
        <v>0.26876026200261299</v>
      </c>
      <c r="O21">
        <v>-294.47584130621902</v>
      </c>
    </row>
    <row r="22" spans="1:19">
      <c r="A22" s="7">
        <v>40544</v>
      </c>
      <c r="B22">
        <v>1.4813541216325301</v>
      </c>
      <c r="C22">
        <v>3.9799608515632801</v>
      </c>
      <c r="D22">
        <v>-2.0408745535162698</v>
      </c>
      <c r="E22">
        <v>0.37089269472880898</v>
      </c>
      <c r="F22">
        <v>-1.0117273702444001</v>
      </c>
      <c r="G22">
        <v>3.1521539856451608</v>
      </c>
      <c r="H22">
        <v>5.4691601542762092</v>
      </c>
      <c r="I22">
        <f>G22-H22</f>
        <v>-2.3170061686310484</v>
      </c>
      <c r="K22" t="s">
        <v>30</v>
      </c>
      <c r="L22">
        <v>0.13788818393187</v>
      </c>
    </row>
    <row r="23" spans="1:19">
      <c r="A23" s="7">
        <v>40634</v>
      </c>
      <c r="B23">
        <v>1.6665257040466801</v>
      </c>
      <c r="C23">
        <v>4.0318773839599498</v>
      </c>
      <c r="D23">
        <v>-1.9016486238213</v>
      </c>
      <c r="E23">
        <v>0.64593985921965202</v>
      </c>
      <c r="F23">
        <v>-0.43692052816054799</v>
      </c>
      <c r="G23">
        <v>3.8405066214754102</v>
      </c>
      <c r="H23">
        <v>2.4932237473901608</v>
      </c>
      <c r="I23">
        <f>G23-H23</f>
        <v>1.3472828740852494</v>
      </c>
    </row>
    <row r="24" spans="1:19">
      <c r="A24" s="7">
        <v>40725</v>
      </c>
      <c r="B24">
        <v>2.1389621278474098</v>
      </c>
      <c r="C24">
        <v>4.12751998471522</v>
      </c>
      <c r="D24">
        <v>-1.5138550202668299</v>
      </c>
      <c r="E24">
        <v>1.3698257807418499</v>
      </c>
      <c r="F24">
        <v>-0.54372189410086502</v>
      </c>
      <c r="G24">
        <v>4.4905237047619053</v>
      </c>
      <c r="H24">
        <v>2.4662303483315551</v>
      </c>
      <c r="I24">
        <f>G24-H24</f>
        <v>2.0242933564303502</v>
      </c>
    </row>
    <row r="25" spans="1:19">
      <c r="A25" s="7">
        <v>40817</v>
      </c>
      <c r="B25">
        <v>2.1211913471719899</v>
      </c>
      <c r="C25">
        <v>4.1463883497361396</v>
      </c>
      <c r="D25">
        <v>-1.5483241300988599</v>
      </c>
      <c r="E25">
        <v>1.03666267907715</v>
      </c>
      <c r="F25">
        <v>-0.83683602584254202</v>
      </c>
      <c r="G25">
        <v>4.6706580208474584</v>
      </c>
      <c r="H25">
        <v>3.1165965480741238</v>
      </c>
      <c r="I25">
        <f>G25-H25</f>
        <v>1.5540614727733346</v>
      </c>
      <c r="K25" t="s">
        <v>29</v>
      </c>
    </row>
    <row r="26" spans="1:19">
      <c r="A26" s="7">
        <v>40909</v>
      </c>
      <c r="B26">
        <v>3.0651359787222199</v>
      </c>
      <c r="C26">
        <v>4.0416444617672704</v>
      </c>
      <c r="D26">
        <v>-0.51168212299388904</v>
      </c>
      <c r="E26">
        <v>2.0977806606092599</v>
      </c>
      <c r="F26">
        <v>-1.5845362488366299</v>
      </c>
      <c r="G26">
        <v>5.0223701415873014</v>
      </c>
      <c r="H26">
        <v>6.0910310030109827</v>
      </c>
      <c r="I26">
        <f>G26-H26</f>
        <v>-1.0686608614236812</v>
      </c>
      <c r="K26" t="s">
        <v>28</v>
      </c>
    </row>
    <row r="27" spans="1:19">
      <c r="A27" s="7">
        <v>41000</v>
      </c>
      <c r="B27">
        <v>2.3469275383452199</v>
      </c>
      <c r="C27">
        <v>4.1241702070186097</v>
      </c>
      <c r="D27">
        <v>-1.30292508737836</v>
      </c>
      <c r="E27">
        <v>1.04137680304689</v>
      </c>
      <c r="F27">
        <v>-0.58072074061486501</v>
      </c>
      <c r="G27">
        <v>5.2724438194915253</v>
      </c>
      <c r="H27">
        <v>2.3510901876280239</v>
      </c>
      <c r="I27">
        <f>G27-H27</f>
        <v>2.9213536318635014</v>
      </c>
      <c r="K27">
        <v>1181.0629236843199</v>
      </c>
      <c r="L27">
        <v>1180.00189187042</v>
      </c>
      <c r="M27">
        <v>1178.9406082033699</v>
      </c>
      <c r="N27">
        <v>1.06103181390438</v>
      </c>
      <c r="O27">
        <v>1.06128366704876</v>
      </c>
      <c r="P27">
        <v>1.0613782551987001</v>
      </c>
      <c r="Q27">
        <v>0</v>
      </c>
      <c r="R27">
        <v>0</v>
      </c>
      <c r="S27">
        <v>0</v>
      </c>
    </row>
    <row r="28" spans="1:19">
      <c r="A28" s="7">
        <v>41091</v>
      </c>
      <c r="B28">
        <v>0.92342228935355697</v>
      </c>
      <c r="C28">
        <v>4.1394410364314496</v>
      </c>
      <c r="D28">
        <v>-2.7399448796676298</v>
      </c>
      <c r="E28">
        <v>-0.82266768051999895</v>
      </c>
      <c r="F28">
        <v>0.82884984170987197</v>
      </c>
      <c r="G28">
        <v>5.0872248950819676</v>
      </c>
      <c r="H28">
        <v>1.7810933173610271</v>
      </c>
      <c r="I28">
        <f>G28-H28</f>
        <v>3.3061315777209406</v>
      </c>
    </row>
    <row r="29" spans="1:19">
      <c r="A29" s="7">
        <v>41183</v>
      </c>
      <c r="B29">
        <v>0.44377169040075698</v>
      </c>
      <c r="C29">
        <v>4.2268389414885599</v>
      </c>
      <c r="D29">
        <v>-3.2969418191552</v>
      </c>
      <c r="E29">
        <v>-1.02961453027137</v>
      </c>
      <c r="F29">
        <v>1.2833984708969</v>
      </c>
      <c r="G29">
        <v>4.6598736983333326</v>
      </c>
      <c r="H29">
        <v>1.507599640142665</v>
      </c>
      <c r="I29">
        <f>G29-H29</f>
        <v>3.1522740581906676</v>
      </c>
      <c r="K29" t="s">
        <v>27</v>
      </c>
    </row>
    <row r="30" spans="1:19">
      <c r="A30" s="7">
        <v>41275</v>
      </c>
      <c r="B30">
        <v>0.92982924735419703</v>
      </c>
      <c r="C30">
        <v>4.1735778699444799</v>
      </c>
      <c r="D30">
        <v>-2.76374870472812</v>
      </c>
      <c r="E30">
        <v>-0.53373880458047995</v>
      </c>
      <c r="F30">
        <v>0.66143788039721496</v>
      </c>
      <c r="G30">
        <v>3.9617389040677971</v>
      </c>
      <c r="H30">
        <v>3.8421039601338252</v>
      </c>
      <c r="I30">
        <f>G30-H30</f>
        <v>0.11963494393397189</v>
      </c>
      <c r="K30">
        <v>0.42892952862690698</v>
      </c>
      <c r="L30">
        <v>0.2</v>
      </c>
      <c r="M30">
        <v>0</v>
      </c>
      <c r="N30">
        <v>0.2</v>
      </c>
      <c r="O30">
        <v>0.2</v>
      </c>
      <c r="P30">
        <v>0</v>
      </c>
      <c r="Q30">
        <v>0</v>
      </c>
      <c r="R30">
        <v>0</v>
      </c>
      <c r="S30">
        <v>0</v>
      </c>
    </row>
    <row r="31" spans="1:19">
      <c r="A31" s="7">
        <v>41365</v>
      </c>
      <c r="B31">
        <v>2.4549375530690098</v>
      </c>
      <c r="C31">
        <v>4.2705379334503002</v>
      </c>
      <c r="D31">
        <v>-1.3244491616523399</v>
      </c>
      <c r="E31">
        <v>1.5992452145385401</v>
      </c>
      <c r="F31">
        <v>-1.86324057753512</v>
      </c>
      <c r="G31">
        <v>3.1716703475409829</v>
      </c>
      <c r="H31">
        <v>3.1890965703908591</v>
      </c>
      <c r="I31">
        <f>G31-H31</f>
        <v>-1.7426222849876272E-2</v>
      </c>
      <c r="K31">
        <v>0.2</v>
      </c>
      <c r="L31">
        <v>0.2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7">
        <v>41456</v>
      </c>
      <c r="B32">
        <v>1.84463137019294</v>
      </c>
      <c r="C32">
        <v>4.3314706768102003</v>
      </c>
      <c r="D32">
        <v>-1.9886802608585401</v>
      </c>
      <c r="E32">
        <v>0.41039914777411501</v>
      </c>
      <c r="F32">
        <v>-1.1299585303923001</v>
      </c>
      <c r="G32">
        <v>3.2505521153968249</v>
      </c>
      <c r="H32">
        <v>1.6047169317173979</v>
      </c>
      <c r="I32">
        <f>G32-H32</f>
        <v>1.6458351836794269</v>
      </c>
      <c r="K32">
        <v>0</v>
      </c>
      <c r="L32">
        <v>0</v>
      </c>
      <c r="M32">
        <v>0.2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7">
        <v>41548</v>
      </c>
      <c r="B33">
        <v>1.4505248957644099</v>
      </c>
      <c r="C33">
        <v>4.4225415556322201</v>
      </c>
      <c r="D33">
        <v>-2.4633836237544302</v>
      </c>
      <c r="E33">
        <v>0.327014916493226</v>
      </c>
      <c r="F33">
        <v>-0.64031983602546205</v>
      </c>
      <c r="G33">
        <v>3.2584420158333329</v>
      </c>
      <c r="H33">
        <v>1.1570303621354581</v>
      </c>
      <c r="I33">
        <f>G33-H33</f>
        <v>2.1014116536978751</v>
      </c>
      <c r="K33">
        <v>0.2</v>
      </c>
      <c r="L33">
        <v>0</v>
      </c>
      <c r="M33">
        <v>0</v>
      </c>
      <c r="N33">
        <v>0.20208963998077101</v>
      </c>
      <c r="O33">
        <v>0.2</v>
      </c>
      <c r="P33">
        <v>0</v>
      </c>
      <c r="Q33">
        <v>0</v>
      </c>
      <c r="R33">
        <v>0</v>
      </c>
      <c r="S33">
        <v>0</v>
      </c>
    </row>
    <row r="34" spans="1:19">
      <c r="A34" s="7">
        <v>41640</v>
      </c>
      <c r="B34">
        <v>2.0997621403760802</v>
      </c>
      <c r="C34">
        <v>4.36079603968955</v>
      </c>
      <c r="D34">
        <v>-1.7595021665672299</v>
      </c>
      <c r="E34">
        <v>1.08128528926864</v>
      </c>
      <c r="F34">
        <v>-1.3986637525013601</v>
      </c>
      <c r="G34">
        <v>3.2172666272131152</v>
      </c>
      <c r="H34">
        <v>4.1138290931098442</v>
      </c>
      <c r="I34">
        <f>G34-H34</f>
        <v>-0.89656246589672906</v>
      </c>
      <c r="K34">
        <v>0.2</v>
      </c>
      <c r="L34">
        <v>0</v>
      </c>
      <c r="M34">
        <v>0</v>
      </c>
      <c r="N34">
        <v>0.2</v>
      </c>
      <c r="O34">
        <v>0.2</v>
      </c>
      <c r="P34">
        <v>0</v>
      </c>
      <c r="Q34">
        <v>0</v>
      </c>
      <c r="R34">
        <v>0</v>
      </c>
      <c r="S34">
        <v>0</v>
      </c>
    </row>
    <row r="35" spans="1:19">
      <c r="A35" s="7">
        <v>41730</v>
      </c>
      <c r="B35">
        <v>1.93044657415236</v>
      </c>
      <c r="C35">
        <v>4.2469988246092703</v>
      </c>
      <c r="D35">
        <v>-1.82810824617617</v>
      </c>
      <c r="E35">
        <v>0.62133179880447598</v>
      </c>
      <c r="F35">
        <v>-1.11919669208872</v>
      </c>
      <c r="G35">
        <v>3.493737834745763</v>
      </c>
      <c r="H35">
        <v>3.8543754237657661</v>
      </c>
      <c r="I35">
        <f>G35-H35</f>
        <v>-0.36063758902000309</v>
      </c>
      <c r="K35">
        <v>0</v>
      </c>
      <c r="L35">
        <v>0</v>
      </c>
      <c r="M35">
        <v>0</v>
      </c>
      <c r="N35">
        <v>0</v>
      </c>
      <c r="O35">
        <v>0</v>
      </c>
      <c r="P35">
        <v>0.2</v>
      </c>
      <c r="Q35">
        <v>0</v>
      </c>
      <c r="R35">
        <v>0</v>
      </c>
      <c r="S35">
        <v>0</v>
      </c>
    </row>
    <row r="36" spans="1:19">
      <c r="A36" s="7">
        <v>41821</v>
      </c>
      <c r="B36">
        <v>1.5594129468079301</v>
      </c>
      <c r="C36">
        <v>4.2655749473684503</v>
      </c>
      <c r="D36">
        <v>-2.2155815709688298</v>
      </c>
      <c r="E36">
        <v>0.40553008421784398</v>
      </c>
      <c r="F36">
        <v>-0.227276419276911</v>
      </c>
      <c r="G36">
        <v>4.1544997621875002</v>
      </c>
      <c r="H36">
        <v>2.1642180596148641</v>
      </c>
      <c r="I36">
        <f>G36-H36</f>
        <v>1.990281702572636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1.2231291632971</v>
      </c>
      <c r="R36">
        <v>0.2</v>
      </c>
      <c r="S36">
        <v>0</v>
      </c>
    </row>
    <row r="37" spans="1:19">
      <c r="A37" s="7">
        <v>41913</v>
      </c>
      <c r="B37">
        <v>1.32114520722011</v>
      </c>
      <c r="C37">
        <v>4.3032620833091899</v>
      </c>
      <c r="D37">
        <v>-2.48720207854746</v>
      </c>
      <c r="E37">
        <v>0.169307259161769</v>
      </c>
      <c r="F37">
        <v>9.3342388178014907E-2</v>
      </c>
      <c r="G37">
        <v>4.5036931886440676</v>
      </c>
      <c r="H37">
        <v>2.2243997964932931</v>
      </c>
      <c r="I37">
        <f>G37-H37</f>
        <v>2.2792933921507745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0.2</v>
      </c>
      <c r="R37">
        <v>0.2</v>
      </c>
      <c r="S37">
        <v>0</v>
      </c>
    </row>
    <row r="38" spans="1:19">
      <c r="A38" s="7">
        <v>42005</v>
      </c>
      <c r="B38">
        <v>1.7763478486859801</v>
      </c>
      <c r="C38">
        <v>4.1444181969453497</v>
      </c>
      <c r="D38">
        <v>-1.8914240615215501</v>
      </c>
      <c r="E38">
        <v>0.46527898440035598</v>
      </c>
      <c r="F38">
        <v>-0.69733535664277402</v>
      </c>
      <c r="G38">
        <v>4.5148703936065573</v>
      </c>
      <c r="H38">
        <v>5.5004383263794976</v>
      </c>
      <c r="I38">
        <f>G38-H38</f>
        <v>-0.9855679327729403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</v>
      </c>
    </row>
    <row r="39" spans="1:19">
      <c r="A39" s="7">
        <v>42095</v>
      </c>
      <c r="B39">
        <v>2.165682612745</v>
      </c>
      <c r="C39">
        <v>4.0016667983089702</v>
      </c>
      <c r="D39">
        <v>-1.3757556252362799</v>
      </c>
      <c r="E39">
        <v>0.81546264466601304</v>
      </c>
      <c r="F39">
        <v>-1.530739175061</v>
      </c>
      <c r="G39">
        <v>4.5194675475862063</v>
      </c>
      <c r="H39">
        <v>5.6490402571211629</v>
      </c>
      <c r="I39">
        <f>G39-H39</f>
        <v>-1.1295727095349566</v>
      </c>
    </row>
    <row r="40" spans="1:19">
      <c r="A40" s="7">
        <v>42186</v>
      </c>
      <c r="B40">
        <v>1.94305688865268</v>
      </c>
      <c r="C40">
        <v>4.0226954495131801</v>
      </c>
      <c r="D40">
        <v>-1.6169915118486899</v>
      </c>
      <c r="E40">
        <v>0.68032216809069701</v>
      </c>
      <c r="F40">
        <v>-1.64307928681802</v>
      </c>
      <c r="G40">
        <v>4.5423539533333326</v>
      </c>
      <c r="H40">
        <v>3.5956270260007579</v>
      </c>
      <c r="I40">
        <f>G40-H40</f>
        <v>0.94672692733257469</v>
      </c>
    </row>
    <row r="41" spans="1:19">
      <c r="A41" s="7">
        <v>42278</v>
      </c>
      <c r="B41">
        <v>1.6258499907794699</v>
      </c>
      <c r="C41">
        <v>3.8304116846143299</v>
      </c>
      <c r="D41">
        <v>-1.76402904983328</v>
      </c>
      <c r="E41">
        <v>7.6918702848843196E-2</v>
      </c>
      <c r="F41">
        <v>-1.6574298195803401</v>
      </c>
      <c r="G41">
        <v>5.1854215489830509</v>
      </c>
      <c r="H41">
        <v>6.12289990163426</v>
      </c>
      <c r="I41">
        <f>G41-H41</f>
        <v>-0.93747835265120916</v>
      </c>
    </row>
    <row r="42" spans="1:19">
      <c r="A42" s="7">
        <v>42370</v>
      </c>
      <c r="B42">
        <v>2.7823906841663901</v>
      </c>
      <c r="C42">
        <v>3.5255456318128999</v>
      </c>
      <c r="D42">
        <v>-0.33768470929870598</v>
      </c>
      <c r="E42">
        <v>1.5921608618944001</v>
      </c>
      <c r="F42">
        <v>-3.0880995462489</v>
      </c>
      <c r="G42">
        <v>6.0680636961666661</v>
      </c>
      <c r="H42">
        <v>10.127523048240519</v>
      </c>
      <c r="I42">
        <f>G42-H42</f>
        <v>-4.0594593520738531</v>
      </c>
    </row>
    <row r="43" spans="1:19">
      <c r="A43" s="7">
        <v>42461</v>
      </c>
      <c r="B43">
        <v>2.59111034374064</v>
      </c>
      <c r="C43">
        <v>3.4610006986581698</v>
      </c>
      <c r="D43">
        <v>-0.47184337871508703</v>
      </c>
      <c r="E43">
        <v>1.4338121166758799</v>
      </c>
      <c r="F43">
        <v>-2.4214626931921601</v>
      </c>
      <c r="G43">
        <v>6.9525643398387098</v>
      </c>
      <c r="H43">
        <v>7.2856167812853636</v>
      </c>
      <c r="I43">
        <f>G43-H43</f>
        <v>-0.3330524414466538</v>
      </c>
    </row>
    <row r="44" spans="1:19">
      <c r="A44" s="7">
        <v>42552</v>
      </c>
      <c r="B44">
        <v>1.2967959827438</v>
      </c>
      <c r="C44">
        <v>3.5562343042859998</v>
      </c>
      <c r="D44">
        <v>-1.85043860303962</v>
      </c>
      <c r="E44">
        <v>0.14651205775658099</v>
      </c>
      <c r="F44">
        <v>-0.61244944962411096</v>
      </c>
      <c r="G44">
        <v>7.6758787790476184</v>
      </c>
      <c r="H44">
        <v>4.4300892525515723</v>
      </c>
      <c r="I44">
        <f>G44-H44</f>
        <v>3.2457895264960461</v>
      </c>
    </row>
    <row r="45" spans="1:19">
      <c r="A45" s="7">
        <v>42644</v>
      </c>
      <c r="B45">
        <v>-0.1251794119694</v>
      </c>
      <c r="C45">
        <v>3.72541706025511</v>
      </c>
      <c r="D45">
        <v>-3.4221391776326802</v>
      </c>
      <c r="E45">
        <v>-1.20011935576895</v>
      </c>
      <c r="F45">
        <v>1.5656430892769899</v>
      </c>
      <c r="G45">
        <v>7.7212433947457626</v>
      </c>
      <c r="H45">
        <v>3.2798897876752391</v>
      </c>
      <c r="I45">
        <f>G45-H45</f>
        <v>4.4413536070705231</v>
      </c>
    </row>
    <row r="46" spans="1:19">
      <c r="A46" s="7">
        <v>42736</v>
      </c>
      <c r="B46">
        <v>3.2241689808796298E-2</v>
      </c>
      <c r="C46">
        <v>3.5108146173750998</v>
      </c>
      <c r="D46">
        <v>-3.0747968916367898</v>
      </c>
      <c r="E46">
        <v>-1.2453243833340399</v>
      </c>
      <c r="F46">
        <v>1.4911168162363799</v>
      </c>
      <c r="G46">
        <v>7.3886283136507931</v>
      </c>
      <c r="H46">
        <v>8.4654834089102913</v>
      </c>
      <c r="I46">
        <f>G46-H46</f>
        <v>-1.0768550952594982</v>
      </c>
    </row>
    <row r="47" spans="1:19">
      <c r="A47" s="7">
        <v>42826</v>
      </c>
      <c r="B47">
        <v>-0.20524012685245399</v>
      </c>
      <c r="C47">
        <v>3.4502183641124202</v>
      </c>
      <c r="D47">
        <v>-3.2586515826029401</v>
      </c>
      <c r="E47">
        <v>-1.50397639132575</v>
      </c>
      <c r="F47">
        <v>1.28193566543943</v>
      </c>
      <c r="G47">
        <v>6.5633613584745758</v>
      </c>
      <c r="H47">
        <v>5.7712008304133144</v>
      </c>
      <c r="I47">
        <f>G47-H47</f>
        <v>0.79216052806126136</v>
      </c>
    </row>
    <row r="48" spans="1:19">
      <c r="A48" s="7">
        <v>42917</v>
      </c>
      <c r="B48">
        <v>-1.4904876244113301</v>
      </c>
      <c r="C48">
        <v>3.6363310569210299</v>
      </c>
      <c r="D48">
        <v>-4.7086070981218704</v>
      </c>
      <c r="E48">
        <v>-2.77326830935317</v>
      </c>
      <c r="F48">
        <v>2.3048147211143801</v>
      </c>
      <c r="G48">
        <v>5.5001441340983606</v>
      </c>
      <c r="H48">
        <v>1.226694122582406</v>
      </c>
      <c r="I48">
        <f>G48-H48</f>
        <v>4.2734500115159548</v>
      </c>
    </row>
    <row r="49" spans="1:9">
      <c r="A49" s="7">
        <v>43009</v>
      </c>
      <c r="B49">
        <v>-2.5208891860807001</v>
      </c>
      <c r="C49">
        <v>3.6851462777643298</v>
      </c>
      <c r="D49">
        <v>-5.7822096803667202</v>
      </c>
      <c r="E49">
        <v>-3.8637846350031899</v>
      </c>
      <c r="F49">
        <v>3.1871345723403901</v>
      </c>
      <c r="G49">
        <v>5.0046066691379307</v>
      </c>
      <c r="H49">
        <v>1.890066769606946</v>
      </c>
      <c r="I49">
        <f>G49-H49</f>
        <v>3.1145398995309845</v>
      </c>
    </row>
    <row r="50" spans="1:9">
      <c r="A50" s="7">
        <v>43101</v>
      </c>
      <c r="B50">
        <v>-2.22415196840055</v>
      </c>
      <c r="C50">
        <v>3.4737197681912102</v>
      </c>
      <c r="D50">
        <v>-5.2983619501767496</v>
      </c>
      <c r="E50">
        <v>-3.4823831067246802</v>
      </c>
      <c r="F50">
        <v>3.12039863389509</v>
      </c>
      <c r="G50">
        <v>4.5719102505000002</v>
      </c>
      <c r="H50">
        <v>5.8146926174192037</v>
      </c>
      <c r="I50">
        <f>G50-H50</f>
        <v>-1.2427823669192035</v>
      </c>
    </row>
    <row r="51" spans="1:9">
      <c r="A51" s="7">
        <v>43191</v>
      </c>
      <c r="B51">
        <v>-1.5985026557255499</v>
      </c>
      <c r="C51">
        <v>3.4072789662376102</v>
      </c>
      <c r="D51">
        <v>-4.6139131400773099</v>
      </c>
      <c r="E51">
        <v>-2.49592009764774</v>
      </c>
      <c r="F51">
        <v>2.64725706260838</v>
      </c>
      <c r="G51">
        <v>4.3105842522950821</v>
      </c>
      <c r="H51">
        <v>4.1158658720404473</v>
      </c>
      <c r="I51">
        <f>G51-H51</f>
        <v>0.19471838025463484</v>
      </c>
    </row>
    <row r="52" spans="1:9">
      <c r="A52" s="7">
        <v>43282</v>
      </c>
      <c r="B52">
        <v>-1.90945462265442</v>
      </c>
      <c r="C52">
        <v>3.4744478332568001</v>
      </c>
      <c r="D52">
        <v>-4.9843089353039698</v>
      </c>
      <c r="E52">
        <v>-2.85002477543935</v>
      </c>
      <c r="F52">
        <v>2.8840364827579901</v>
      </c>
      <c r="G52">
        <v>4.2557257895081966</v>
      </c>
      <c r="H52">
        <v>1.303950458551939</v>
      </c>
      <c r="I52">
        <f>G52-H52</f>
        <v>2.9517753309562575</v>
      </c>
    </row>
    <row r="53" spans="1:9">
      <c r="A53" s="7">
        <v>43374</v>
      </c>
      <c r="B53">
        <v>-2.5338749742254598</v>
      </c>
      <c r="C53">
        <v>3.4518058669039302</v>
      </c>
      <c r="D53">
        <v>-5.5886913553163202</v>
      </c>
      <c r="E53">
        <v>-3.6428136748591</v>
      </c>
      <c r="F53">
        <v>3.5354290174571399</v>
      </c>
      <c r="G53">
        <v>4.2538784546666664</v>
      </c>
      <c r="H53">
        <v>1.774788697728336</v>
      </c>
      <c r="I53">
        <f>G53-H53</f>
        <v>2.4790897569383303</v>
      </c>
    </row>
    <row r="54" spans="1:9">
      <c r="A54" s="7">
        <v>43466</v>
      </c>
      <c r="B54">
        <v>-1.5518047113441999</v>
      </c>
      <c r="C54">
        <v>3.2585759117855799</v>
      </c>
      <c r="D54">
        <v>-4.4356143629220899</v>
      </c>
      <c r="E54">
        <v>-2.4137396484334199</v>
      </c>
      <c r="F54">
        <v>2.6265524579127599</v>
      </c>
      <c r="G54">
        <v>4.2555814772131146</v>
      </c>
      <c r="H54">
        <v>5.5287298942575003</v>
      </c>
      <c r="I54">
        <f>G54-H54</f>
        <v>-1.2731484170443856</v>
      </c>
    </row>
    <row r="55" spans="1:9">
      <c r="A55" s="7">
        <v>43556</v>
      </c>
      <c r="B55">
        <v>-0.77689318645051098</v>
      </c>
      <c r="C55">
        <v>3.1420929928675299</v>
      </c>
      <c r="D55">
        <v>-3.5576165282680798</v>
      </c>
      <c r="E55">
        <v>-1.6032286274973999</v>
      </c>
      <c r="F55">
        <v>1.7100928527130099</v>
      </c>
      <c r="G55">
        <v>4.260639622666667</v>
      </c>
      <c r="H55">
        <v>4.7022907750788878</v>
      </c>
      <c r="I55">
        <f>G55-H55</f>
        <v>-0.44165115241222086</v>
      </c>
    </row>
    <row r="56" spans="1:9">
      <c r="A56" s="7">
        <v>43647</v>
      </c>
      <c r="B56">
        <v>-0.84349999876905901</v>
      </c>
      <c r="C56">
        <v>3.19302811181233</v>
      </c>
      <c r="D56">
        <v>-3.6693004514454</v>
      </c>
      <c r="E56">
        <v>-1.6335006254728299</v>
      </c>
      <c r="F56">
        <v>1.5647445490359699</v>
      </c>
      <c r="G56">
        <v>4.2631764066666671</v>
      </c>
      <c r="H56">
        <v>2.1619180585342961</v>
      </c>
      <c r="I56">
        <f>G56-H56</f>
        <v>2.101258348132371</v>
      </c>
    </row>
    <row r="57" spans="1:9">
      <c r="A57" s="7">
        <v>43739</v>
      </c>
      <c r="B57">
        <v>-1.53557103805755</v>
      </c>
      <c r="C57">
        <v>3.1495688660984098</v>
      </c>
      <c r="D57">
        <v>-4.3229104587883702</v>
      </c>
      <c r="E57">
        <v>-2.6127732708498601</v>
      </c>
      <c r="F57">
        <v>2.05772049683031</v>
      </c>
      <c r="G57">
        <v>4.2578333131666666</v>
      </c>
      <c r="H57">
        <v>2.549796689704964</v>
      </c>
      <c r="I57">
        <f>G57-H57</f>
        <v>1.7080366234617026</v>
      </c>
    </row>
    <row r="58" spans="1:9">
      <c r="A58" s="7">
        <v>43831</v>
      </c>
      <c r="B58">
        <v>-0.12987427205591301</v>
      </c>
      <c r="C58">
        <v>3.1252702869367002</v>
      </c>
      <c r="D58">
        <v>-2.8957096741592299</v>
      </c>
      <c r="E58">
        <v>-0.46530043835124602</v>
      </c>
      <c r="F58">
        <v>0.72454735722117503</v>
      </c>
      <c r="G58">
        <v>4.2234061409677421</v>
      </c>
      <c r="H58">
        <v>5.1009266998917724</v>
      </c>
      <c r="I58">
        <f>G58-H58</f>
        <v>-0.87752055892403025</v>
      </c>
    </row>
    <row r="59" spans="1:9">
      <c r="A59" s="7">
        <v>43922</v>
      </c>
      <c r="B59">
        <v>-3.0553017574917001</v>
      </c>
      <c r="C59">
        <v>2.9793913008961299</v>
      </c>
      <c r="D59">
        <v>-5.6920356013392599</v>
      </c>
      <c r="E59">
        <v>-4.9047357703169103</v>
      </c>
      <c r="F59">
        <v>3.5742230645955102</v>
      </c>
      <c r="G59">
        <v>3.2266335736206901</v>
      </c>
      <c r="H59">
        <v>1.0182076179365169</v>
      </c>
      <c r="I59">
        <f>G59-H59</f>
        <v>2.2084259556841732</v>
      </c>
    </row>
    <row r="60" spans="1:9">
      <c r="A60" s="7">
        <v>44013</v>
      </c>
      <c r="B60">
        <v>0.48359526002463799</v>
      </c>
      <c r="C60">
        <v>3.50996778914282</v>
      </c>
      <c r="D60">
        <v>-2.6226938862395701</v>
      </c>
      <c r="E60">
        <v>1.78941181003449</v>
      </c>
      <c r="F60">
        <v>-0.50305333267774399</v>
      </c>
      <c r="G60">
        <v>2.226156826984127</v>
      </c>
      <c r="H60">
        <v>0.31352859101567709</v>
      </c>
      <c r="I60">
        <f>G60-H60</f>
        <v>1.9126282359684499</v>
      </c>
    </row>
    <row r="61" spans="1:9">
      <c r="A61" s="7">
        <v>44105</v>
      </c>
      <c r="B61">
        <v>1.8450743358164201</v>
      </c>
      <c r="C61">
        <v>3.7875448234898101</v>
      </c>
      <c r="D61">
        <v>-1.5068679277531301</v>
      </c>
      <c r="E61">
        <v>2.2743368026698598</v>
      </c>
      <c r="F61">
        <v>-2.1313035078829801</v>
      </c>
      <c r="G61">
        <v>1.753357668474576</v>
      </c>
      <c r="H61">
        <v>1.7256844533205971</v>
      </c>
      <c r="I61">
        <f>G61-H61</f>
        <v>2.7673215153978914E-2</v>
      </c>
    </row>
    <row r="62" spans="1:9">
      <c r="A62" s="7">
        <v>44197</v>
      </c>
      <c r="B62">
        <v>5.7232527468681802</v>
      </c>
      <c r="C62">
        <v>4.1788823785834799</v>
      </c>
      <c r="D62">
        <v>2.0249803535255899</v>
      </c>
      <c r="E62">
        <v>7.6998049167068698</v>
      </c>
      <c r="F62">
        <v>-5.7263168304950103</v>
      </c>
      <c r="G62">
        <v>1.734076304918033</v>
      </c>
      <c r="H62">
        <v>3.891140891906653</v>
      </c>
      <c r="I62">
        <f>G62-H62</f>
        <v>-2.15706458698862</v>
      </c>
    </row>
    <row r="63" spans="1:9">
      <c r="A63" s="7">
        <v>44287</v>
      </c>
      <c r="B63">
        <v>3.81170271935687</v>
      </c>
      <c r="C63">
        <v>3.8597641950325499</v>
      </c>
      <c r="D63">
        <v>0.39584697753057702</v>
      </c>
      <c r="E63">
        <v>3.0170814204238501</v>
      </c>
      <c r="F63">
        <v>-4.7890782637573199</v>
      </c>
      <c r="G63">
        <v>1.750735391666667</v>
      </c>
      <c r="H63">
        <v>4.9820898080255249</v>
      </c>
      <c r="I63">
        <f>G63-H63</f>
        <v>-3.2313544163588581</v>
      </c>
    </row>
    <row r="64" spans="1:9">
      <c r="A64" s="7">
        <v>44378</v>
      </c>
      <c r="B64">
        <v>3.5384802905143702</v>
      </c>
      <c r="C64">
        <v>3.7484826688972999</v>
      </c>
      <c r="D64">
        <v>0.22110767377056501</v>
      </c>
      <c r="E64">
        <v>3.62259373829917</v>
      </c>
      <c r="F64">
        <v>-5.54274679676739</v>
      </c>
      <c r="G64">
        <v>1.7681322442857139</v>
      </c>
      <c r="H64">
        <v>4.4906798489021682</v>
      </c>
      <c r="I64">
        <f>G64-H64</f>
        <v>-2.7225476046164543</v>
      </c>
    </row>
    <row r="65" spans="1:9">
      <c r="A65" s="7">
        <v>44470</v>
      </c>
      <c r="B65">
        <v>4.1517989698085698</v>
      </c>
      <c r="C65">
        <v>4.0052229066730902</v>
      </c>
      <c r="D65">
        <v>0.60721360869738705</v>
      </c>
      <c r="E65">
        <v>4.9803172388035604</v>
      </c>
      <c r="F65">
        <v>-5.8027447020814797</v>
      </c>
      <c r="G65">
        <v>2.4432255373333329</v>
      </c>
      <c r="H65">
        <v>3.0127745295906339</v>
      </c>
      <c r="I65">
        <f>G65-H65</f>
        <v>-0.56954899225730093</v>
      </c>
    </row>
    <row r="66" spans="1:9">
      <c r="A66" s="7">
        <v>44562</v>
      </c>
      <c r="B66">
        <v>6.2852437874032203</v>
      </c>
      <c r="C66">
        <v>3.5926457487935299</v>
      </c>
      <c r="D66">
        <v>3.1057854087908701</v>
      </c>
      <c r="E66">
        <v>6.7810545233801696</v>
      </c>
      <c r="F66">
        <v>-8.9112037413458207</v>
      </c>
      <c r="G66">
        <v>3.757294426129032</v>
      </c>
      <c r="H66">
        <v>13.04747333376819</v>
      </c>
      <c r="I66">
        <f>G66-H66</f>
        <v>-9.2901789076391577</v>
      </c>
    </row>
    <row r="67" spans="1:9">
      <c r="A67" s="7">
        <v>44652</v>
      </c>
      <c r="B67">
        <v>5.4675198997259002</v>
      </c>
      <c r="C67">
        <v>3.1645476298523501</v>
      </c>
      <c r="D67">
        <v>2.6669244111139898</v>
      </c>
      <c r="E67">
        <v>5.1780971408607499</v>
      </c>
      <c r="F67">
        <v>-7.8372939871848297</v>
      </c>
      <c r="G67">
        <v>5.7572492280000001</v>
      </c>
      <c r="H67">
        <v>11.95716554957473</v>
      </c>
      <c r="I67">
        <f>G67-H67</f>
        <v>-6.1999163215747304</v>
      </c>
    </row>
    <row r="68" spans="1:9">
      <c r="A68" s="7">
        <v>44743</v>
      </c>
      <c r="B68">
        <v>4.3277821353140498</v>
      </c>
      <c r="C68">
        <v>2.9989157600579901</v>
      </c>
      <c r="D68">
        <v>1.6737693250415699</v>
      </c>
      <c r="E68">
        <v>4.3450886781570697</v>
      </c>
      <c r="F68">
        <v>-5.2451469651956604</v>
      </c>
      <c r="G68">
        <v>8.5769977660317451</v>
      </c>
      <c r="H68">
        <v>9.9600369707198766</v>
      </c>
      <c r="I68">
        <f>G68-H68</f>
        <v>-1.3830392046881315</v>
      </c>
    </row>
    <row r="69" spans="1:9">
      <c r="A69" s="7">
        <v>44835</v>
      </c>
      <c r="B69">
        <v>2.3278369800373802</v>
      </c>
      <c r="C69">
        <v>2.8521249113654101</v>
      </c>
      <c r="D69">
        <v>-0.196267281935845</v>
      </c>
      <c r="E69">
        <v>1.8775198327179401</v>
      </c>
      <c r="F69">
        <v>-2.6747435555334902</v>
      </c>
      <c r="G69">
        <v>10.822290113559321</v>
      </c>
      <c r="H69">
        <v>9.7121109021589334</v>
      </c>
      <c r="I69">
        <f>G69-H69</f>
        <v>1.1101792114003874</v>
      </c>
    </row>
    <row r="70" spans="1:9">
      <c r="A70" s="7">
        <v>44927</v>
      </c>
      <c r="B70">
        <v>3.9006411733257602</v>
      </c>
      <c r="C70">
        <v>2.5596263877263499</v>
      </c>
      <c r="D70">
        <v>1.6353954091680301</v>
      </c>
      <c r="E70">
        <v>4.0888038403605496</v>
      </c>
      <c r="F70">
        <v>-3.61126993890778</v>
      </c>
      <c r="G70">
        <v>12.46550412952381</v>
      </c>
      <c r="H70">
        <v>17.075218157969768</v>
      </c>
      <c r="I70">
        <f>G70-H70</f>
        <v>-4.6097140284459588</v>
      </c>
    </row>
    <row r="71" spans="1:9">
      <c r="A71" s="7">
        <v>45017</v>
      </c>
      <c r="B71">
        <v>1.97793399032658</v>
      </c>
      <c r="C71">
        <v>2.5405293129287299</v>
      </c>
      <c r="D71">
        <v>-0.27041103862988503</v>
      </c>
      <c r="E71">
        <v>1.2472381760108</v>
      </c>
      <c r="F71">
        <v>-0.721872181621801</v>
      </c>
      <c r="G71">
        <v>13.19447442186441</v>
      </c>
      <c r="H71">
        <v>11.00628442178995</v>
      </c>
      <c r="I71">
        <f>G71-H71</f>
        <v>2.1881900000744601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6E72-A51C-4FA6-89C7-4F053F685D86}">
  <sheetPr>
    <tabColor theme="9" tint="0.59999389629810485"/>
  </sheetPr>
  <dimension ref="A1:AB53"/>
  <sheetViews>
    <sheetView workbookViewId="0">
      <selection activeCell="C34" sqref="C34"/>
    </sheetView>
  </sheetViews>
  <sheetFormatPr defaultRowHeight="14.25"/>
  <sheetData>
    <row r="1" spans="1:28">
      <c r="A1" t="s">
        <v>38</v>
      </c>
      <c r="B1" t="s">
        <v>44</v>
      </c>
      <c r="C1" t="s">
        <v>35</v>
      </c>
      <c r="D1" t="s">
        <v>43</v>
      </c>
      <c r="E1" t="s">
        <v>42</v>
      </c>
      <c r="F1" t="s">
        <v>41</v>
      </c>
      <c r="I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</row>
    <row r="2" spans="1:28">
      <c r="A2" s="7">
        <v>39083</v>
      </c>
      <c r="B2">
        <v>3.8684170071828201</v>
      </c>
      <c r="C2">
        <v>2.8223405324114701</v>
      </c>
      <c r="D2">
        <v>1.0354242459602601</v>
      </c>
      <c r="E2">
        <v>1.51932293515461</v>
      </c>
      <c r="F2">
        <v>-0.74380594365715402</v>
      </c>
      <c r="I2" t="s">
        <v>34</v>
      </c>
    </row>
    <row r="3" spans="1:28">
      <c r="A3" s="7">
        <v>39173</v>
      </c>
      <c r="B3">
        <v>5.4377298120122601</v>
      </c>
      <c r="C3">
        <v>3.3466953300132398</v>
      </c>
      <c r="D3">
        <v>2.0784032052246699</v>
      </c>
      <c r="E3">
        <v>1.0317783050873</v>
      </c>
      <c r="F3">
        <v>-1.9614138431974499</v>
      </c>
      <c r="I3" t="s">
        <v>5</v>
      </c>
      <c r="J3" t="s">
        <v>7</v>
      </c>
      <c r="K3" t="s">
        <v>9</v>
      </c>
      <c r="L3" t="s">
        <v>10</v>
      </c>
      <c r="M3" t="s">
        <v>12</v>
      </c>
      <c r="N3" t="s">
        <v>14</v>
      </c>
      <c r="O3" t="s">
        <v>16</v>
      </c>
      <c r="P3" t="s">
        <v>18</v>
      </c>
      <c r="Q3" t="s">
        <v>20</v>
      </c>
      <c r="R3" t="s">
        <v>22</v>
      </c>
      <c r="S3" t="s">
        <v>24</v>
      </c>
    </row>
    <row r="4" spans="1:28">
      <c r="A4" s="7">
        <v>39264</v>
      </c>
      <c r="B4">
        <v>5.6365596215884901</v>
      </c>
      <c r="C4">
        <v>3.3894684795174501</v>
      </c>
      <c r="D4">
        <v>2.2342984285847698</v>
      </c>
      <c r="E4">
        <v>0.76951500424729602</v>
      </c>
      <c r="F4">
        <v>-2.2034056705840399</v>
      </c>
      <c r="I4">
        <v>1.1105386746039401</v>
      </c>
      <c r="J4">
        <v>-0.45584550711991101</v>
      </c>
      <c r="K4">
        <v>-7.0406466724672101E-2</v>
      </c>
      <c r="L4">
        <v>0.38383398830410098</v>
      </c>
      <c r="M4">
        <v>0.113004281734864</v>
      </c>
      <c r="N4">
        <v>0.72127050104254697</v>
      </c>
      <c r="O4">
        <v>1.1229887508548899</v>
      </c>
      <c r="P4">
        <v>0.45630717068256899</v>
      </c>
      <c r="Q4">
        <v>0</v>
      </c>
      <c r="R4">
        <v>1.0037742535632299</v>
      </c>
      <c r="S4">
        <v>0.65469316748402995</v>
      </c>
    </row>
    <row r="5" spans="1:28">
      <c r="A5" s="7">
        <v>39356</v>
      </c>
      <c r="B5">
        <v>5.0690616150568104</v>
      </c>
      <c r="C5">
        <v>3.27131524844738</v>
      </c>
      <c r="D5">
        <v>1.7853995933765301</v>
      </c>
      <c r="E5">
        <v>0.48766330501098298</v>
      </c>
      <c r="F5">
        <v>-1.52822300030408</v>
      </c>
    </row>
    <row r="6" spans="1:28">
      <c r="A6" s="7">
        <v>39448</v>
      </c>
      <c r="B6">
        <v>3.4618239903775998</v>
      </c>
      <c r="C6">
        <v>2.9152788449866498</v>
      </c>
      <c r="D6">
        <v>0.53554214382245702</v>
      </c>
      <c r="E6">
        <v>8.19488571137299E-2</v>
      </c>
      <c r="F6">
        <v>0.10321184016406</v>
      </c>
    </row>
    <row r="7" spans="1:28">
      <c r="A7" s="7">
        <v>39539</v>
      </c>
      <c r="B7">
        <v>5.7159135381456903</v>
      </c>
      <c r="C7">
        <v>2.8997017649365699</v>
      </c>
      <c r="D7">
        <v>2.80526756349051</v>
      </c>
      <c r="E7">
        <v>0.16482397501158599</v>
      </c>
      <c r="F7">
        <v>-2.7442639899728198</v>
      </c>
    </row>
    <row r="8" spans="1:28">
      <c r="A8" s="7">
        <v>39630</v>
      </c>
      <c r="B8">
        <v>5.2027804209241797</v>
      </c>
      <c r="C8">
        <v>2.6744444571354502</v>
      </c>
      <c r="D8">
        <v>2.51824193226674</v>
      </c>
      <c r="E8">
        <v>0.23612074760535501</v>
      </c>
      <c r="F8">
        <v>-2.1460265198998498</v>
      </c>
    </row>
    <row r="9" spans="1:28">
      <c r="A9" s="7">
        <v>39722</v>
      </c>
      <c r="B9">
        <v>-0.60130078943384901</v>
      </c>
      <c r="C9">
        <v>2.0157363054661799</v>
      </c>
      <c r="D9">
        <v>-2.62464499483346</v>
      </c>
      <c r="E9">
        <v>-0.71617697289275395</v>
      </c>
      <c r="F9">
        <v>3.25528302069791</v>
      </c>
    </row>
    <row r="10" spans="1:28">
      <c r="A10" s="7">
        <v>39814</v>
      </c>
      <c r="B10">
        <v>-12.486756526694601</v>
      </c>
      <c r="C10">
        <v>0.59928088612655195</v>
      </c>
      <c r="D10">
        <v>-13.088299250841001</v>
      </c>
      <c r="E10">
        <v>-3.3309959752728</v>
      </c>
      <c r="F10">
        <v>14.5320050735648</v>
      </c>
    </row>
    <row r="11" spans="1:28">
      <c r="A11" s="7">
        <v>39904</v>
      </c>
      <c r="B11">
        <v>-12.880503464961199</v>
      </c>
      <c r="C11">
        <v>0.75571538739565802</v>
      </c>
      <c r="D11">
        <v>-13.6390711138505</v>
      </c>
      <c r="E11">
        <v>-5.40625842198983</v>
      </c>
      <c r="F11">
        <v>13.1791274632031</v>
      </c>
    </row>
    <row r="12" spans="1:28">
      <c r="A12" s="7">
        <v>39995</v>
      </c>
      <c r="B12">
        <v>-8.2503862749179007</v>
      </c>
      <c r="C12">
        <v>1.7056648206170499</v>
      </c>
      <c r="D12">
        <v>-9.96248870706183</v>
      </c>
      <c r="E12">
        <v>-4.7740793625082496</v>
      </c>
      <c r="F12">
        <v>8.0079533873224094</v>
      </c>
    </row>
    <row r="13" spans="1:28">
      <c r="A13" s="7">
        <v>40087</v>
      </c>
      <c r="B13">
        <v>-11.2223879210788</v>
      </c>
      <c r="C13">
        <v>1.54350805146877</v>
      </c>
      <c r="D13">
        <v>-12.771721563310701</v>
      </c>
      <c r="E13">
        <v>-3.1993906872014599</v>
      </c>
      <c r="F13">
        <v>11.4339765947958</v>
      </c>
    </row>
    <row r="14" spans="1:28">
      <c r="A14" s="7">
        <v>40179</v>
      </c>
      <c r="B14">
        <v>-6.6233780794939596</v>
      </c>
      <c r="C14">
        <v>1.13447780376399</v>
      </c>
      <c r="D14">
        <v>-7.7621376901512003</v>
      </c>
      <c r="E14">
        <v>-1.1492163527038901</v>
      </c>
      <c r="F14">
        <v>6.8231046384641001</v>
      </c>
    </row>
    <row r="15" spans="1:28">
      <c r="A15" s="7">
        <v>40269</v>
      </c>
      <c r="B15">
        <v>-9.8763988321104197</v>
      </c>
      <c r="C15">
        <v>1.52159013653491</v>
      </c>
      <c r="D15">
        <v>-11.403731835639899</v>
      </c>
      <c r="E15">
        <v>-1.6720081952007599</v>
      </c>
      <c r="F15">
        <v>10.5547072700484</v>
      </c>
    </row>
    <row r="16" spans="1:28">
      <c r="A16" s="7">
        <v>40360</v>
      </c>
      <c r="B16">
        <v>-12.020641834949901</v>
      </c>
      <c r="C16">
        <v>1.8004962193188601</v>
      </c>
      <c r="D16">
        <v>-13.8279335835401</v>
      </c>
      <c r="E16">
        <v>-2.08207742523041</v>
      </c>
      <c r="F16">
        <v>12.9075321860086</v>
      </c>
    </row>
    <row r="17" spans="1:17">
      <c r="A17" s="7">
        <v>40452</v>
      </c>
      <c r="B17">
        <v>-11.5548614721507</v>
      </c>
      <c r="C17">
        <v>1.8828724702700801</v>
      </c>
      <c r="D17">
        <v>-13.444840380550801</v>
      </c>
      <c r="E17">
        <v>-2.0123171776467599</v>
      </c>
      <c r="F17">
        <v>12.538593326572601</v>
      </c>
    </row>
    <row r="18" spans="1:17">
      <c r="A18" s="7">
        <v>40544</v>
      </c>
      <c r="B18">
        <v>-6.0612257479588303</v>
      </c>
      <c r="C18">
        <v>1.7268820591326399</v>
      </c>
      <c r="D18">
        <v>-7.7946254978564298</v>
      </c>
      <c r="E18">
        <v>-0.92572779316674303</v>
      </c>
      <c r="F18">
        <v>7.3233584925454904</v>
      </c>
    </row>
    <row r="19" spans="1:17">
      <c r="A19" s="7">
        <v>40634</v>
      </c>
      <c r="B19">
        <v>-8.6724129756234003</v>
      </c>
      <c r="C19">
        <v>1.9114199481256799</v>
      </c>
      <c r="D19">
        <v>-10.591047107299101</v>
      </c>
      <c r="E19">
        <v>-1.5962214705170901</v>
      </c>
      <c r="F19">
        <v>9.9864308404815691</v>
      </c>
    </row>
    <row r="20" spans="1:17">
      <c r="A20" s="7">
        <v>40725</v>
      </c>
      <c r="B20">
        <v>-6.2433698390201897</v>
      </c>
      <c r="C20">
        <v>2.3187481640225198</v>
      </c>
      <c r="D20">
        <v>-8.5708695465629994</v>
      </c>
      <c r="E20">
        <v>-1.42119272231139</v>
      </c>
      <c r="F20">
        <v>7.4871795204616101</v>
      </c>
      <c r="I20" t="s">
        <v>33</v>
      </c>
      <c r="M20" t="s">
        <v>32</v>
      </c>
    </row>
    <row r="21" spans="1:17">
      <c r="A21" s="7">
        <v>40817</v>
      </c>
      <c r="B21">
        <v>-5.2172900340433799</v>
      </c>
      <c r="C21">
        <v>2.15179654621376</v>
      </c>
      <c r="D21">
        <v>-7.3772080060390302</v>
      </c>
      <c r="E21">
        <v>-0.705647209344761</v>
      </c>
      <c r="F21">
        <v>6.3612220724974504</v>
      </c>
      <c r="I21" t="s">
        <v>31</v>
      </c>
      <c r="J21">
        <v>0.14070706975450301</v>
      </c>
      <c r="M21">
        <v>-156.59176950624101</v>
      </c>
    </row>
    <row r="22" spans="1:17">
      <c r="A22" s="7">
        <v>40909</v>
      </c>
      <c r="B22">
        <v>1.4559879219962499</v>
      </c>
      <c r="C22">
        <v>1.93298308007787</v>
      </c>
      <c r="D22">
        <v>-0.48429072635926701</v>
      </c>
      <c r="E22">
        <v>0.59540627028286497</v>
      </c>
      <c r="F22">
        <v>-0.31834641907123201</v>
      </c>
      <c r="I22" t="s">
        <v>30</v>
      </c>
      <c r="J22">
        <v>0.46735976052540301</v>
      </c>
    </row>
    <row r="23" spans="1:17">
      <c r="A23" s="7">
        <v>41000</v>
      </c>
      <c r="B23">
        <v>7.6006098933087997E-3</v>
      </c>
      <c r="C23">
        <v>2.1614960802571499</v>
      </c>
      <c r="D23">
        <v>-2.16205350464665</v>
      </c>
      <c r="E23">
        <v>7.7310130852765696E-2</v>
      </c>
      <c r="F23">
        <v>1.0171979823494699</v>
      </c>
    </row>
    <row r="24" spans="1:17">
      <c r="A24" s="7">
        <v>41091</v>
      </c>
      <c r="B24">
        <v>-1.0411978078406401</v>
      </c>
      <c r="C24">
        <v>2.2013123115497</v>
      </c>
      <c r="D24">
        <v>-3.2508184302259902</v>
      </c>
      <c r="E24">
        <v>-0.141007865369602</v>
      </c>
      <c r="F24">
        <v>1.8817298328175001</v>
      </c>
    </row>
    <row r="25" spans="1:17">
      <c r="A25" s="7">
        <v>41183</v>
      </c>
      <c r="B25">
        <v>-4.9216384652196501</v>
      </c>
      <c r="C25">
        <v>2.4866913869104099</v>
      </c>
      <c r="D25">
        <v>-7.4177152559577602</v>
      </c>
      <c r="E25">
        <v>-1.13620676959135</v>
      </c>
      <c r="F25">
        <v>6.1519286814275098</v>
      </c>
      <c r="I25" t="s">
        <v>29</v>
      </c>
    </row>
    <row r="26" spans="1:17">
      <c r="A26" s="7">
        <v>41275</v>
      </c>
      <c r="B26">
        <v>-2.82993183647624</v>
      </c>
      <c r="C26">
        <v>2.2745204699424599</v>
      </c>
      <c r="D26">
        <v>-5.1130369234070203</v>
      </c>
      <c r="E26">
        <v>-0.57566255911683595</v>
      </c>
      <c r="F26">
        <v>4.25251020164814</v>
      </c>
      <c r="I26" t="s">
        <v>28</v>
      </c>
    </row>
    <row r="27" spans="1:17">
      <c r="A27" s="7">
        <v>41365</v>
      </c>
      <c r="B27">
        <v>-6.9566088894891998</v>
      </c>
      <c r="C27">
        <v>2.1651635692475701</v>
      </c>
      <c r="D27">
        <v>-9.1299443350529792</v>
      </c>
      <c r="E27">
        <v>-1.55744055681453</v>
      </c>
      <c r="F27">
        <v>8.1049582234304403</v>
      </c>
      <c r="I27">
        <v>1647.61937393672</v>
      </c>
      <c r="J27">
        <v>1647.16028353398</v>
      </c>
      <c r="K27">
        <v>1646.7013647559199</v>
      </c>
      <c r="L27">
        <v>0.45909040274452201</v>
      </c>
      <c r="M27">
        <v>0.45891877805814801</v>
      </c>
      <c r="N27">
        <v>0.458866308222383</v>
      </c>
      <c r="O27">
        <v>0</v>
      </c>
      <c r="P27">
        <v>0</v>
      </c>
      <c r="Q27">
        <v>0</v>
      </c>
    </row>
    <row r="28" spans="1:17">
      <c r="A28" s="7">
        <v>41456</v>
      </c>
      <c r="B28">
        <v>-8.9129606188932602</v>
      </c>
      <c r="C28">
        <v>2.4780052063106401</v>
      </c>
      <c r="D28">
        <v>-11.400318445183499</v>
      </c>
      <c r="E28">
        <v>-2.5372445121240599</v>
      </c>
      <c r="F28">
        <v>10.399503871819499</v>
      </c>
    </row>
    <row r="29" spans="1:17">
      <c r="A29" s="7">
        <v>41548</v>
      </c>
      <c r="B29">
        <v>-7.5903907433590101</v>
      </c>
      <c r="C29">
        <v>2.3559944802730799</v>
      </c>
      <c r="D29">
        <v>-9.9552773441942009</v>
      </c>
      <c r="E29">
        <v>-2.0151845283146499</v>
      </c>
      <c r="F29">
        <v>8.6238800790205108</v>
      </c>
      <c r="I29" t="s">
        <v>27</v>
      </c>
    </row>
    <row r="30" spans="1:17">
      <c r="A30" s="7">
        <v>41640</v>
      </c>
      <c r="B30">
        <v>3.2547583315792101</v>
      </c>
      <c r="C30">
        <v>1.9434161868166</v>
      </c>
      <c r="D30">
        <v>1.30400719929468</v>
      </c>
      <c r="E30">
        <v>0.43088367735686001</v>
      </c>
      <c r="F30">
        <v>-2.7813960316828799</v>
      </c>
      <c r="I30">
        <v>0.61610161060825597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>
      <c r="A31" s="7">
        <v>41730</v>
      </c>
      <c r="B31">
        <v>2.1955796310897</v>
      </c>
      <c r="C31">
        <v>2.1975753038605501</v>
      </c>
      <c r="D31">
        <v>-1.0289879191905301E-2</v>
      </c>
      <c r="E31">
        <v>0.21885414259781999</v>
      </c>
      <c r="F31">
        <v>-1.8567228448914099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7">
        <v>41821</v>
      </c>
      <c r="B32">
        <v>-1.5690120994326899</v>
      </c>
      <c r="C32">
        <v>2.1463808992076401</v>
      </c>
      <c r="D32">
        <v>-3.7234939843972001</v>
      </c>
      <c r="E32">
        <v>-0.17739415208348</v>
      </c>
      <c r="F32">
        <v>1.28339577318066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7">
        <v>41913</v>
      </c>
      <c r="B33">
        <v>-1.76925337151318</v>
      </c>
      <c r="C33">
        <v>2.36395450116642</v>
      </c>
      <c r="D33">
        <v>-4.1421300363789397</v>
      </c>
      <c r="E33">
        <v>-0.43941757112270402</v>
      </c>
      <c r="F33">
        <v>1.53082206156375</v>
      </c>
      <c r="I33">
        <v>0.2</v>
      </c>
      <c r="J33">
        <v>0</v>
      </c>
      <c r="K33">
        <v>0</v>
      </c>
      <c r="L33">
        <v>0.20427848330298501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>
      <c r="A34" s="7">
        <v>42005</v>
      </c>
      <c r="B34">
        <v>-6.2527890252727802</v>
      </c>
      <c r="C34">
        <v>2.4508162948349401</v>
      </c>
      <c r="D34">
        <v>-8.7128553222413103</v>
      </c>
      <c r="E34">
        <v>-1.1544967074294199</v>
      </c>
      <c r="F34">
        <v>6.9272795462645602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>
      <c r="A35" s="7">
        <v>42095</v>
      </c>
      <c r="B35">
        <v>-3.6586633859826998</v>
      </c>
      <c r="C35">
        <v>2.5514816420919502</v>
      </c>
      <c r="D35">
        <v>-6.21977496675383</v>
      </c>
      <c r="E35">
        <v>-0.73812988019676595</v>
      </c>
      <c r="F35">
        <v>4.3878735900979198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>
      <c r="A36" s="7">
        <v>42186</v>
      </c>
      <c r="B36">
        <v>-1.95174560049582</v>
      </c>
      <c r="C36">
        <v>2.6015018703738502</v>
      </c>
      <c r="D36">
        <v>-4.5630661985736696</v>
      </c>
      <c r="E36">
        <v>-0.26770669888924198</v>
      </c>
      <c r="F36">
        <v>2.7007065043323801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26.5400552431073</v>
      </c>
      <c r="P36">
        <v>0.2</v>
      </c>
      <c r="Q36">
        <v>0</v>
      </c>
    </row>
    <row r="37" spans="1:17">
      <c r="A37" s="7">
        <v>42278</v>
      </c>
      <c r="B37">
        <v>-3.08409824461839</v>
      </c>
      <c r="C37">
        <v>2.3490360768835798</v>
      </c>
      <c r="D37">
        <v>-5.4420001792852997</v>
      </c>
      <c r="E37">
        <v>-0.28078032037728901</v>
      </c>
      <c r="F37">
        <v>3.7881065952198698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>
      <c r="A38" s="7">
        <v>42370</v>
      </c>
      <c r="B38">
        <v>0.42210831393424803</v>
      </c>
      <c r="C38">
        <v>2.3568362443458599</v>
      </c>
      <c r="D38">
        <v>-1.94362322800478</v>
      </c>
      <c r="E38">
        <v>-3.7993382368995299E-2</v>
      </c>
      <c r="F38">
        <v>0.39839512732015703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>
      <c r="A39" s="7">
        <v>42461</v>
      </c>
      <c r="B39">
        <v>1.7640820276368401</v>
      </c>
      <c r="C39">
        <v>2.2775979946629401</v>
      </c>
      <c r="D39">
        <v>-0.52211219937306197</v>
      </c>
      <c r="E39">
        <v>0.21100051643475101</v>
      </c>
      <c r="F39">
        <v>-0.87557136930079404</v>
      </c>
    </row>
    <row r="40" spans="1:17">
      <c r="A40" s="7">
        <v>42552</v>
      </c>
      <c r="B40">
        <v>2.2617407089285502</v>
      </c>
      <c r="C40">
        <v>2.37973024760378</v>
      </c>
      <c r="D40">
        <v>-0.12697124404177099</v>
      </c>
      <c r="E40">
        <v>0.20274856186802001</v>
      </c>
      <c r="F40">
        <v>-0.96862010421369305</v>
      </c>
    </row>
    <row r="41" spans="1:17">
      <c r="A41" s="7">
        <v>42644</v>
      </c>
      <c r="B41">
        <v>6.6034843713738596</v>
      </c>
      <c r="C41">
        <v>2.3601567948401398</v>
      </c>
      <c r="D41">
        <v>4.23441974634102</v>
      </c>
      <c r="E41">
        <v>1.2031093376053801</v>
      </c>
      <c r="F41">
        <v>-4.7653938129693501</v>
      </c>
    </row>
    <row r="42" spans="1:17">
      <c r="A42" s="7">
        <v>42736</v>
      </c>
      <c r="B42">
        <v>16.717518398348702</v>
      </c>
      <c r="C42">
        <v>1.9095671090140001</v>
      </c>
      <c r="D42">
        <v>14.8007440988693</v>
      </c>
      <c r="E42">
        <v>3.59498400608891</v>
      </c>
      <c r="F42">
        <v>-14.843258522233199</v>
      </c>
    </row>
    <row r="43" spans="1:17">
      <c r="A43" s="7">
        <v>42826</v>
      </c>
      <c r="B43">
        <v>18.591649804018999</v>
      </c>
      <c r="C43">
        <v>1.84852868414959</v>
      </c>
      <c r="D43">
        <v>16.736144303896499</v>
      </c>
      <c r="E43">
        <v>3.81817942830958</v>
      </c>
      <c r="F43">
        <v>-16.689103081551298</v>
      </c>
    </row>
    <row r="44" spans="1:17">
      <c r="A44" s="7">
        <v>42917</v>
      </c>
      <c r="B44">
        <v>10.0191528460744</v>
      </c>
      <c r="C44">
        <v>1.9588032555872701</v>
      </c>
      <c r="D44">
        <v>8.0529565703201005</v>
      </c>
      <c r="E44">
        <v>1.83775277605423</v>
      </c>
      <c r="F44">
        <v>-7.88678828494578</v>
      </c>
    </row>
    <row r="45" spans="1:17">
      <c r="A45" s="7">
        <v>43009</v>
      </c>
      <c r="B45">
        <v>9.7910842561314908</v>
      </c>
      <c r="C45">
        <v>2.3817563452852299</v>
      </c>
      <c r="D45">
        <v>7.4003385584733197</v>
      </c>
      <c r="E45">
        <v>1.1866775691060001</v>
      </c>
      <c r="F45">
        <v>-7.5366042314013901</v>
      </c>
    </row>
    <row r="46" spans="1:17">
      <c r="A46" s="7">
        <v>43101</v>
      </c>
      <c r="B46">
        <v>9.4419143190062993</v>
      </c>
      <c r="C46">
        <v>2.4365199123517298</v>
      </c>
      <c r="D46">
        <v>6.99619836269349</v>
      </c>
      <c r="E46">
        <v>1.4886177946812</v>
      </c>
      <c r="F46">
        <v>-6.2653418093229103</v>
      </c>
    </row>
    <row r="47" spans="1:17">
      <c r="A47" s="7">
        <v>43191</v>
      </c>
      <c r="B47">
        <v>2.6561074556605302</v>
      </c>
      <c r="C47">
        <v>2.4207260445331999</v>
      </c>
      <c r="D47">
        <v>0.22624497722815101</v>
      </c>
      <c r="E47">
        <v>0.31843251918712701</v>
      </c>
      <c r="F47">
        <v>1.2663187807453899</v>
      </c>
    </row>
    <row r="48" spans="1:17">
      <c r="A48" s="7">
        <v>43282</v>
      </c>
      <c r="B48">
        <v>1.69628995047527</v>
      </c>
      <c r="C48">
        <v>2.4774302218665101</v>
      </c>
      <c r="D48">
        <v>-0.79049072123376596</v>
      </c>
      <c r="E48">
        <v>-0.30197104692615501</v>
      </c>
      <c r="F48">
        <v>2.46662835756015</v>
      </c>
    </row>
    <row r="49" spans="1:6">
      <c r="A49" s="7">
        <v>43374</v>
      </c>
      <c r="B49">
        <v>1.2474945877860899</v>
      </c>
      <c r="C49">
        <v>2.3594458074760198</v>
      </c>
      <c r="D49">
        <v>-1.12085636643605</v>
      </c>
      <c r="E49">
        <v>-0.56379784308046499</v>
      </c>
      <c r="F49">
        <v>3.04071708462507</v>
      </c>
    </row>
    <row r="50" spans="1:6">
      <c r="A50" s="7">
        <v>43466</v>
      </c>
      <c r="B50">
        <v>1.85459433621373</v>
      </c>
      <c r="C50">
        <v>2.25439639383361</v>
      </c>
      <c r="D50">
        <v>-0.408310721242231</v>
      </c>
      <c r="E50">
        <v>-0.66375951430609303</v>
      </c>
      <c r="F50">
        <v>2.8348693783493699</v>
      </c>
    </row>
    <row r="51" spans="1:6">
      <c r="A51" s="7">
        <v>43556</v>
      </c>
      <c r="B51">
        <v>1.65997344710121</v>
      </c>
      <c r="C51">
        <v>2.01320168888325</v>
      </c>
      <c r="D51">
        <v>-0.36082657542980401</v>
      </c>
      <c r="E51">
        <v>-0.76614805083386295</v>
      </c>
      <c r="F51">
        <v>2.7842219258043199</v>
      </c>
    </row>
    <row r="52" spans="1:6">
      <c r="A52" s="7">
        <v>43647</v>
      </c>
      <c r="B52">
        <v>-0.88065782092981504</v>
      </c>
      <c r="C52">
        <v>2.1122443399741</v>
      </c>
      <c r="D52">
        <v>-3.0008743066304699</v>
      </c>
      <c r="E52">
        <v>-1.6139068311517799</v>
      </c>
      <c r="F52">
        <v>5.2765505934132504</v>
      </c>
    </row>
    <row r="53" spans="1:6">
      <c r="A53" s="7">
        <v>43739</v>
      </c>
      <c r="B53">
        <v>-4.5068279668826001</v>
      </c>
      <c r="C53">
        <v>1.9295481108939501</v>
      </c>
      <c r="D53">
        <v>-6.4436586816095103</v>
      </c>
      <c r="E53">
        <v>-2.2132270973888799</v>
      </c>
      <c r="F53">
        <v>8.5336088939701398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8414-5D0B-4A1F-9B13-A030831CC787}">
  <sheetPr>
    <tabColor theme="9" tint="0.59999389629810485"/>
  </sheetPr>
  <dimension ref="A1:AB111"/>
  <sheetViews>
    <sheetView workbookViewId="0">
      <selection activeCell="C34" sqref="C34"/>
    </sheetView>
  </sheetViews>
  <sheetFormatPr defaultRowHeight="14.25"/>
  <sheetData>
    <row r="1" spans="1:28">
      <c r="A1" t="s">
        <v>38</v>
      </c>
      <c r="B1" t="s">
        <v>44</v>
      </c>
      <c r="C1" t="s">
        <v>35</v>
      </c>
      <c r="D1" t="s">
        <v>43</v>
      </c>
      <c r="E1" t="s">
        <v>42</v>
      </c>
      <c r="F1" t="s">
        <v>41</v>
      </c>
      <c r="I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</row>
    <row r="2" spans="1:28">
      <c r="A2" s="7">
        <v>35339</v>
      </c>
      <c r="B2">
        <v>8.4245691431163596</v>
      </c>
      <c r="C2">
        <v>3.67816134496492</v>
      </c>
      <c r="D2">
        <v>3.3210487421664698E-3</v>
      </c>
      <c r="E2">
        <v>3.2249991691855899</v>
      </c>
      <c r="F2">
        <v>-2.0321163599897498</v>
      </c>
      <c r="I2" t="s">
        <v>34</v>
      </c>
    </row>
    <row r="3" spans="1:28">
      <c r="A3" s="7">
        <v>35431</v>
      </c>
      <c r="B3">
        <v>8.1874366261634393</v>
      </c>
      <c r="C3">
        <v>3.5749905199627698</v>
      </c>
      <c r="D3">
        <v>2.4008759360616598E-3</v>
      </c>
      <c r="E3">
        <v>0.96481591128190303</v>
      </c>
      <c r="F3">
        <v>-2.8625745631094901</v>
      </c>
      <c r="I3" t="s">
        <v>5</v>
      </c>
      <c r="J3" t="s">
        <v>7</v>
      </c>
      <c r="K3" t="s">
        <v>9</v>
      </c>
      <c r="L3" t="s">
        <v>10</v>
      </c>
      <c r="M3" t="s">
        <v>12</v>
      </c>
      <c r="N3" t="s">
        <v>14</v>
      </c>
      <c r="O3" t="s">
        <v>16</v>
      </c>
      <c r="P3" t="s">
        <v>18</v>
      </c>
      <c r="Q3" t="s">
        <v>20</v>
      </c>
      <c r="R3" t="s">
        <v>22</v>
      </c>
      <c r="S3" t="s">
        <v>24</v>
      </c>
    </row>
    <row r="4" spans="1:28">
      <c r="A4" s="7">
        <v>35521</v>
      </c>
      <c r="B4">
        <v>11.032118276458799</v>
      </c>
      <c r="C4">
        <v>4.8085193037643696</v>
      </c>
      <c r="D4">
        <v>2.2885612149596099E-2</v>
      </c>
      <c r="E4">
        <v>8.9350816012115502</v>
      </c>
      <c r="F4">
        <v>-7.1296969637265502</v>
      </c>
      <c r="I4">
        <v>-6.1008873116548297E-2</v>
      </c>
      <c r="J4">
        <v>4.1734476472940603E-2</v>
      </c>
      <c r="K4">
        <v>-0.39354728703694303</v>
      </c>
      <c r="L4">
        <v>0.79610322265184497</v>
      </c>
      <c r="M4">
        <v>2.5000000000000001E-2</v>
      </c>
      <c r="N4">
        <v>4.4772589723014198</v>
      </c>
      <c r="O4">
        <v>1.1530611022950801</v>
      </c>
      <c r="P4">
        <v>1.03827062111959</v>
      </c>
      <c r="Q4">
        <v>-0.18574405350102799</v>
      </c>
      <c r="R4">
        <v>2.28952656084599</v>
      </c>
      <c r="S4">
        <v>-1.9274396643607701E-2</v>
      </c>
    </row>
    <row r="5" spans="1:28">
      <c r="A5" s="7">
        <v>35612</v>
      </c>
      <c r="B5">
        <v>11.171563049630601</v>
      </c>
      <c r="C5">
        <v>4.8703522123939402</v>
      </c>
      <c r="D5">
        <v>2.0762298679627401E-2</v>
      </c>
      <c r="E5">
        <v>2.1883323604745302</v>
      </c>
      <c r="F5">
        <v>-9.2831208551878692</v>
      </c>
    </row>
    <row r="6" spans="1:28">
      <c r="A6" s="7">
        <v>35704</v>
      </c>
      <c r="B6">
        <v>10.9919347527862</v>
      </c>
      <c r="C6">
        <v>4.7935931096634103</v>
      </c>
      <c r="D6">
        <v>1.6876006323470801E-2</v>
      </c>
      <c r="E6">
        <v>2.75011803535517</v>
      </c>
      <c r="F6">
        <v>-6.2633585182953402</v>
      </c>
    </row>
    <row r="7" spans="1:28">
      <c r="A7" s="7">
        <v>35796</v>
      </c>
      <c r="B7">
        <v>9.5729487267558806</v>
      </c>
      <c r="C7">
        <v>4.1774004947980901</v>
      </c>
      <c r="D7">
        <v>8.6793386244730392E-3</v>
      </c>
      <c r="E7">
        <v>-2.1711647953954998</v>
      </c>
      <c r="F7">
        <v>-2.1199693334292</v>
      </c>
    </row>
    <row r="8" spans="1:28">
      <c r="A8" s="7">
        <v>35886</v>
      </c>
      <c r="B8">
        <v>9.7342408325953098</v>
      </c>
      <c r="C8">
        <v>4.2470496122341999</v>
      </c>
      <c r="D8">
        <v>1.0507940154437999E-2</v>
      </c>
      <c r="E8">
        <v>2.2937156951884399</v>
      </c>
      <c r="F8">
        <v>0.20646833869419501</v>
      </c>
    </row>
    <row r="9" spans="1:28">
      <c r="A9" s="7">
        <v>35977</v>
      </c>
      <c r="B9">
        <v>9.5888689879118107</v>
      </c>
      <c r="C9">
        <v>4.1837562119040204</v>
      </c>
      <c r="D9">
        <v>1.00480166531609E-2</v>
      </c>
      <c r="E9">
        <v>-0.39127497619074297</v>
      </c>
      <c r="F9">
        <v>12.5658325977397</v>
      </c>
    </row>
    <row r="10" spans="1:28">
      <c r="A10" s="7">
        <v>36069</v>
      </c>
      <c r="B10">
        <v>9.8624358046750693</v>
      </c>
      <c r="C10">
        <v>4.3009661708798301</v>
      </c>
      <c r="D10">
        <v>1.5259519145632301E-2</v>
      </c>
      <c r="E10">
        <v>-1.27309877372568</v>
      </c>
      <c r="F10">
        <v>-0.56658235480381303</v>
      </c>
    </row>
    <row r="11" spans="1:28">
      <c r="A11" s="7">
        <v>36161</v>
      </c>
      <c r="B11">
        <v>8.9203380156404606</v>
      </c>
      <c r="C11">
        <v>3.8913484983970701</v>
      </c>
      <c r="D11">
        <v>1.0992271052200501E-2</v>
      </c>
      <c r="E11">
        <v>-6.0797454786936704</v>
      </c>
      <c r="F11">
        <v>3.2978242504307498</v>
      </c>
    </row>
    <row r="12" spans="1:28">
      <c r="A12" s="7">
        <v>36251</v>
      </c>
      <c r="B12">
        <v>9.1745363507252193</v>
      </c>
      <c r="C12">
        <v>4.0039878365212402</v>
      </c>
      <c r="D12">
        <v>7.2998497055689398E-3</v>
      </c>
      <c r="E12">
        <v>0.63616150135430904</v>
      </c>
      <c r="F12">
        <v>-2.92238065781559</v>
      </c>
    </row>
    <row r="13" spans="1:28">
      <c r="A13" s="7">
        <v>36342</v>
      </c>
      <c r="B13">
        <v>8.3130525620136702</v>
      </c>
      <c r="C13">
        <v>3.6342561638571098</v>
      </c>
      <c r="D13">
        <v>-7.6734540554404904E-3</v>
      </c>
      <c r="E13">
        <v>-3.9234344889055102</v>
      </c>
      <c r="F13">
        <v>-5.18934174976145</v>
      </c>
    </row>
    <row r="14" spans="1:28">
      <c r="A14" s="7">
        <v>36434</v>
      </c>
      <c r="B14">
        <v>8.2007155755581191</v>
      </c>
      <c r="C14">
        <v>3.5846607317750001</v>
      </c>
      <c r="D14">
        <v>-6.46038146235742E-3</v>
      </c>
      <c r="E14">
        <v>1.2548408055615701</v>
      </c>
      <c r="F14">
        <v>4.2683862702224804</v>
      </c>
    </row>
    <row r="15" spans="1:28">
      <c r="A15" s="7">
        <v>36526</v>
      </c>
      <c r="B15">
        <v>7.6597584867850204</v>
      </c>
      <c r="C15">
        <v>3.3508485718169001</v>
      </c>
      <c r="D15">
        <v>-1.2098319762612501E-2</v>
      </c>
      <c r="E15">
        <v>-2.3085940613198099</v>
      </c>
      <c r="F15">
        <v>0.29148409284340399</v>
      </c>
    </row>
    <row r="16" spans="1:28">
      <c r="A16" s="7">
        <v>36617</v>
      </c>
      <c r="B16">
        <v>8.4260416640995501</v>
      </c>
      <c r="C16">
        <v>3.68492761158919</v>
      </c>
      <c r="D16">
        <v>-1.06979774286799E-2</v>
      </c>
      <c r="E16">
        <v>2.34536740306726</v>
      </c>
      <c r="F16">
        <v>2.3695960434482002</v>
      </c>
    </row>
    <row r="17" spans="1:17">
      <c r="A17" s="7">
        <v>36708</v>
      </c>
      <c r="B17">
        <v>7.5736097524589896</v>
      </c>
      <c r="C17">
        <v>3.31484707697554</v>
      </c>
      <c r="D17">
        <v>-1.5820675419210398E-2</v>
      </c>
      <c r="E17">
        <v>-4.1297791902918597</v>
      </c>
      <c r="F17">
        <v>-0.128703950244828</v>
      </c>
    </row>
    <row r="18" spans="1:17">
      <c r="A18" s="7">
        <v>36800</v>
      </c>
      <c r="B18">
        <v>6.6769897007068897</v>
      </c>
      <c r="C18">
        <v>2.9232801564089601</v>
      </c>
      <c r="D18">
        <v>-1.5937862185441399E-2</v>
      </c>
      <c r="E18">
        <v>-3.8909201578162498</v>
      </c>
      <c r="F18">
        <v>3.30015615311591</v>
      </c>
    </row>
    <row r="19" spans="1:17">
      <c r="A19" s="7">
        <v>36892</v>
      </c>
      <c r="B19">
        <v>4.8554511717772897</v>
      </c>
      <c r="C19">
        <v>2.1308500297349999</v>
      </c>
      <c r="D19">
        <v>-2.31865684804522E-2</v>
      </c>
      <c r="E19">
        <v>-8.1250414920623406</v>
      </c>
      <c r="F19">
        <v>2.7648706655391901</v>
      </c>
    </row>
    <row r="20" spans="1:17">
      <c r="A20" s="7">
        <v>36982</v>
      </c>
      <c r="B20">
        <v>5.7451511979009098</v>
      </c>
      <c r="C20">
        <v>2.5201248834881298</v>
      </c>
      <c r="D20">
        <v>-2.47416594940774E-2</v>
      </c>
      <c r="E20">
        <v>2.4534497225158698</v>
      </c>
      <c r="F20">
        <v>5.3280655284024103</v>
      </c>
      <c r="I20" t="s">
        <v>33</v>
      </c>
      <c r="M20" t="s">
        <v>32</v>
      </c>
    </row>
    <row r="21" spans="1:17">
      <c r="A21" s="7">
        <v>37073</v>
      </c>
      <c r="B21">
        <v>5.6709247243903</v>
      </c>
      <c r="C21">
        <v>2.49144298257194</v>
      </c>
      <c r="D21">
        <v>-3.3300159041522601E-2</v>
      </c>
      <c r="E21">
        <v>-2.2386873388597901</v>
      </c>
      <c r="F21">
        <v>-1.15797802145355</v>
      </c>
      <c r="I21" t="s">
        <v>31</v>
      </c>
      <c r="J21">
        <v>0.109835259068677</v>
      </c>
      <c r="M21">
        <v>-511.582511865237</v>
      </c>
    </row>
    <row r="22" spans="1:17">
      <c r="A22" s="7">
        <v>37165</v>
      </c>
      <c r="B22">
        <v>5.6207671266981798</v>
      </c>
      <c r="C22">
        <v>2.4703064759313702</v>
      </c>
      <c r="D22">
        <v>-3.5065163376536201E-2</v>
      </c>
      <c r="E22">
        <v>-0.80105175093694903</v>
      </c>
      <c r="F22">
        <v>-3.4078882318016199</v>
      </c>
      <c r="I22" t="s">
        <v>30</v>
      </c>
      <c r="J22">
        <v>1.8403675597973498E-2</v>
      </c>
    </row>
    <row r="23" spans="1:17">
      <c r="A23" s="7">
        <v>37257</v>
      </c>
      <c r="B23">
        <v>4.4386256590780597</v>
      </c>
      <c r="C23">
        <v>1.95491948315067</v>
      </c>
      <c r="D23">
        <v>-3.7214421910708603E-2</v>
      </c>
      <c r="E23">
        <v>-3.9339204079474301</v>
      </c>
      <c r="F23">
        <v>-2.95944855767504</v>
      </c>
    </row>
    <row r="24" spans="1:17">
      <c r="A24" s="7">
        <v>37347</v>
      </c>
      <c r="B24">
        <v>5.71874198208174</v>
      </c>
      <c r="C24">
        <v>2.51261418746682</v>
      </c>
      <c r="D24">
        <v>-3.3954937281999699E-2</v>
      </c>
      <c r="E24">
        <v>6.4326920581640898</v>
      </c>
      <c r="F24">
        <v>-4.1061802222607797</v>
      </c>
    </row>
    <row r="25" spans="1:17">
      <c r="A25" s="7">
        <v>37438</v>
      </c>
      <c r="B25">
        <v>5.3927130249130304</v>
      </c>
      <c r="C25">
        <v>2.3688026465240601</v>
      </c>
      <c r="D25">
        <v>-3.0723551706078E-2</v>
      </c>
      <c r="E25">
        <v>-0.272300487896246</v>
      </c>
      <c r="F25">
        <v>-2.7908802290705901</v>
      </c>
      <c r="I25" t="s">
        <v>29</v>
      </c>
    </row>
    <row r="26" spans="1:17">
      <c r="A26" s="7">
        <v>37530</v>
      </c>
      <c r="B26">
        <v>5.4134414823592101</v>
      </c>
      <c r="C26">
        <v>2.3781341442708701</v>
      </c>
      <c r="D26">
        <v>-3.1359806203692997E-2</v>
      </c>
      <c r="E26">
        <v>1.67427452015272</v>
      </c>
      <c r="F26">
        <v>-2.5985040148544001</v>
      </c>
      <c r="I26" t="s">
        <v>28</v>
      </c>
    </row>
    <row r="27" spans="1:17">
      <c r="A27" s="7">
        <v>37622</v>
      </c>
      <c r="B27">
        <v>4.8709495521174704</v>
      </c>
      <c r="C27">
        <v>2.144105246274</v>
      </c>
      <c r="D27">
        <v>-3.8036358476086399E-2</v>
      </c>
      <c r="E27">
        <v>-1.2290279384674201</v>
      </c>
      <c r="F27">
        <v>-2.3274228399913501</v>
      </c>
      <c r="I27">
        <v>1079.9301661310501</v>
      </c>
      <c r="J27">
        <v>1079.05768273126</v>
      </c>
      <c r="K27">
        <v>1078.1853024557699</v>
      </c>
      <c r="L27">
        <v>0.87248339978920297</v>
      </c>
      <c r="M27">
        <v>0.87238027549201302</v>
      </c>
      <c r="N27">
        <v>0.87232134769763503</v>
      </c>
      <c r="O27">
        <v>0</v>
      </c>
      <c r="P27">
        <v>0</v>
      </c>
      <c r="Q27">
        <v>0</v>
      </c>
    </row>
    <row r="28" spans="1:17">
      <c r="A28" s="7">
        <v>37712</v>
      </c>
      <c r="B28">
        <v>6.5362633089737896</v>
      </c>
      <c r="C28">
        <v>2.8703049540260599</v>
      </c>
      <c r="D28">
        <v>-3.5376120996707297E-2</v>
      </c>
      <c r="E28">
        <v>7.7222481904795996</v>
      </c>
      <c r="F28">
        <v>-3.9568426643867798</v>
      </c>
    </row>
    <row r="29" spans="1:17">
      <c r="A29" s="7">
        <v>37803</v>
      </c>
      <c r="B29">
        <v>6.2507868162268903</v>
      </c>
      <c r="C29">
        <v>2.7487778836624002</v>
      </c>
      <c r="D29">
        <v>-4.2613158284186999E-2</v>
      </c>
      <c r="E29">
        <v>-0.15262701692495301</v>
      </c>
      <c r="F29">
        <v>-4.0516104439482703</v>
      </c>
      <c r="I29" t="s">
        <v>27</v>
      </c>
    </row>
    <row r="30" spans="1:17">
      <c r="A30" s="7">
        <v>37895</v>
      </c>
      <c r="B30">
        <v>6.05412238068054</v>
      </c>
      <c r="C30">
        <v>2.6631317421952798</v>
      </c>
      <c r="D30">
        <v>-4.31884781076061E-2</v>
      </c>
      <c r="E30">
        <v>1.06770911302533</v>
      </c>
      <c r="F30">
        <v>-4.0885234642557</v>
      </c>
      <c r="I30">
        <v>1.4638154753976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>
      <c r="A31" s="7">
        <v>37987</v>
      </c>
      <c r="B31">
        <v>5.6371678000603902</v>
      </c>
      <c r="C31">
        <v>2.47800868581297</v>
      </c>
      <c r="D31">
        <v>-3.6298904115465602E-2</v>
      </c>
      <c r="E31">
        <v>-0.18646741386055499</v>
      </c>
      <c r="F31">
        <v>-3.9680695277157398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7">
        <v>38078</v>
      </c>
      <c r="B32">
        <v>7.2392651127662999</v>
      </c>
      <c r="C32">
        <v>3.1739865182847602</v>
      </c>
      <c r="D32">
        <v>-2.7661324613754298E-2</v>
      </c>
      <c r="E32">
        <v>8.0021738146904209</v>
      </c>
      <c r="F32">
        <v>-5.8146231484429203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7">
        <v>38169</v>
      </c>
      <c r="B33">
        <v>6.9534299823514099</v>
      </c>
      <c r="C33">
        <v>3.05350178830607</v>
      </c>
      <c r="D33">
        <v>-3.7643465566065397E-2</v>
      </c>
      <c r="E33">
        <v>0.56012328715974002</v>
      </c>
      <c r="F33">
        <v>-5.5216614080279696</v>
      </c>
      <c r="I33">
        <v>0.2</v>
      </c>
      <c r="J33">
        <v>0</v>
      </c>
      <c r="K33">
        <v>0</v>
      </c>
      <c r="L33">
        <v>0.21283364025433199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>
      <c r="A34" s="7">
        <v>38261</v>
      </c>
      <c r="B34">
        <v>7.31471433942861</v>
      </c>
      <c r="C34">
        <v>3.2113538756372901</v>
      </c>
      <c r="D34">
        <v>-3.7765655118661097E-2</v>
      </c>
      <c r="E34">
        <v>3.9315023786298302</v>
      </c>
      <c r="F34">
        <v>-5.6358196657930799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>
      <c r="A35" s="7">
        <v>38353</v>
      </c>
      <c r="B35">
        <v>7.0064126752058904</v>
      </c>
      <c r="C35">
        <v>3.0771659324266998</v>
      </c>
      <c r="D35">
        <v>-3.8840459215458797E-2</v>
      </c>
      <c r="E35">
        <v>0.80168601922446203</v>
      </c>
      <c r="F35">
        <v>-5.3126849365334001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>
      <c r="A36" s="7">
        <v>38443</v>
      </c>
      <c r="B36">
        <v>8.6067251699333198</v>
      </c>
      <c r="C36">
        <v>3.77320816789116</v>
      </c>
      <c r="D36">
        <v>-3.2135150054521402E-2</v>
      </c>
      <c r="E36">
        <v>8.6346027079589494</v>
      </c>
      <c r="F36">
        <v>-6.7677450970835897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0.245110221522129</v>
      </c>
      <c r="P36">
        <v>0.2</v>
      </c>
      <c r="Q36">
        <v>0</v>
      </c>
    </row>
    <row r="37" spans="1:17">
      <c r="A37" s="7">
        <v>38534</v>
      </c>
      <c r="B37">
        <v>8.5137869676246201</v>
      </c>
      <c r="C37">
        <v>3.7384922259750502</v>
      </c>
      <c r="D37">
        <v>-4.5590281261496703E-2</v>
      </c>
      <c r="E37">
        <v>1.7970569365372699</v>
      </c>
      <c r="F37">
        <v>-6.60513120693287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>
      <c r="A38" s="7">
        <v>38626</v>
      </c>
      <c r="B38">
        <v>9.2221931038600893</v>
      </c>
      <c r="C38">
        <v>4.04651561914753</v>
      </c>
      <c r="D38">
        <v>-4.2411885056342101E-2</v>
      </c>
      <c r="E38">
        <v>5.7017210398339602</v>
      </c>
      <c r="F38">
        <v>-7.1692306041895097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>
      <c r="A39" s="7">
        <v>38718</v>
      </c>
      <c r="B39">
        <v>9.2659952338652793</v>
      </c>
      <c r="C39">
        <v>4.0605611832255297</v>
      </c>
      <c r="D39">
        <v>-3.0767447069794299E-2</v>
      </c>
      <c r="E39">
        <v>2.7108353367793798</v>
      </c>
      <c r="F39">
        <v>-6.7709500022576101</v>
      </c>
    </row>
    <row r="40" spans="1:17">
      <c r="A40" s="7">
        <v>38808</v>
      </c>
      <c r="B40">
        <v>10.698557615673</v>
      </c>
      <c r="C40">
        <v>4.6877500880891496</v>
      </c>
      <c r="D40">
        <v>-3.4170721615211001E-2</v>
      </c>
      <c r="E40">
        <v>8.5834088232177201</v>
      </c>
      <c r="F40">
        <v>-7.5600512987251198</v>
      </c>
    </row>
    <row r="41" spans="1:17">
      <c r="A41" s="7">
        <v>38899</v>
      </c>
      <c r="B41">
        <v>10.8142431618115</v>
      </c>
      <c r="C41">
        <v>4.7440812295545598</v>
      </c>
      <c r="D41">
        <v>-4.7456820064534999E-2</v>
      </c>
      <c r="E41">
        <v>3.1320915868616299</v>
      </c>
      <c r="F41">
        <v>-7.7066937136823199</v>
      </c>
    </row>
    <row r="42" spans="1:17">
      <c r="A42" s="7">
        <v>38991</v>
      </c>
      <c r="B42">
        <v>11.4948589490798</v>
      </c>
      <c r="C42">
        <v>5.0400286433172798</v>
      </c>
      <c r="D42">
        <v>-4.44204972196688E-2</v>
      </c>
      <c r="E42">
        <v>5.9130656579268397</v>
      </c>
      <c r="F42">
        <v>-8.4220752103992194</v>
      </c>
    </row>
    <row r="43" spans="1:17">
      <c r="A43" s="7">
        <v>39083</v>
      </c>
      <c r="B43">
        <v>11.051890394872901</v>
      </c>
      <c r="C43">
        <v>4.8425526110947201</v>
      </c>
      <c r="D43">
        <v>-3.5262430522579803E-2</v>
      </c>
      <c r="E43">
        <v>1.2608397586634501</v>
      </c>
      <c r="F43">
        <v>-7.9819074069732103</v>
      </c>
    </row>
    <row r="44" spans="1:17">
      <c r="A44" s="7">
        <v>39173</v>
      </c>
      <c r="B44">
        <v>12.270334136857</v>
      </c>
      <c r="C44">
        <v>5.3729525330444803</v>
      </c>
      <c r="D44">
        <v>-3.1183397713035001E-2</v>
      </c>
      <c r="E44">
        <v>8.2106218614599094</v>
      </c>
      <c r="F44">
        <v>-9.3212299002921597</v>
      </c>
    </row>
    <row r="45" spans="1:17">
      <c r="A45" s="7">
        <v>39264</v>
      </c>
      <c r="B45">
        <v>13.023910835572501</v>
      </c>
      <c r="C45">
        <v>5.7000551676371103</v>
      </c>
      <c r="D45">
        <v>-2.6516869020091999E-2</v>
      </c>
      <c r="E45">
        <v>6.17348532770961</v>
      </c>
      <c r="F45">
        <v>-10.233551685435099</v>
      </c>
    </row>
    <row r="46" spans="1:17">
      <c r="A46" s="7">
        <v>39356</v>
      </c>
      <c r="B46">
        <v>14.2479304209927</v>
      </c>
      <c r="C46">
        <v>6.2231581992051801</v>
      </c>
      <c r="D46">
        <v>-1.5556843403924001E-4</v>
      </c>
      <c r="E46">
        <v>8.7993754885299005</v>
      </c>
      <c r="F46">
        <v>-12.0873855954309</v>
      </c>
    </row>
    <row r="47" spans="1:17">
      <c r="A47" s="7">
        <v>39448</v>
      </c>
      <c r="B47">
        <v>13.829286405528199</v>
      </c>
      <c r="C47">
        <v>6.0386528155814601</v>
      </c>
      <c r="D47">
        <v>3.6303925269971001E-3</v>
      </c>
      <c r="E47">
        <v>2.6326616875217002</v>
      </c>
      <c r="F47">
        <v>-12.356281018111099</v>
      </c>
    </row>
    <row r="48" spans="1:17">
      <c r="A48" s="7">
        <v>39539</v>
      </c>
      <c r="B48">
        <v>15.0360724353308</v>
      </c>
      <c r="C48">
        <v>6.5565827602333</v>
      </c>
      <c r="D48">
        <v>2.4602057391775799E-2</v>
      </c>
      <c r="E48">
        <v>9.7492751117356402</v>
      </c>
      <c r="F48">
        <v>-13.7846850291404</v>
      </c>
    </row>
    <row r="49" spans="1:6">
      <c r="A49" s="7">
        <v>39630</v>
      </c>
      <c r="B49">
        <v>15.527311296508699</v>
      </c>
      <c r="C49">
        <v>6.7695404149276204</v>
      </c>
      <c r="D49">
        <v>2.82687118115054E-2</v>
      </c>
      <c r="E49">
        <v>6.8264989487629499</v>
      </c>
      <c r="F49">
        <v>-14.4168542002649</v>
      </c>
    </row>
    <row r="50" spans="1:6">
      <c r="A50" s="7">
        <v>39722</v>
      </c>
      <c r="B50">
        <v>15.9030456786885</v>
      </c>
      <c r="C50">
        <v>6.9304249582527699</v>
      </c>
      <c r="D50">
        <v>3.5653658818877103E-2</v>
      </c>
      <c r="E50">
        <v>7.1137436811666204</v>
      </c>
      <c r="F50">
        <v>-14.865076816892101</v>
      </c>
    </row>
    <row r="51" spans="1:6">
      <c r="A51" s="7">
        <v>39814</v>
      </c>
      <c r="B51">
        <v>14.0908183130658</v>
      </c>
      <c r="C51">
        <v>6.1459624609325001</v>
      </c>
      <c r="D51">
        <v>1.9474016798401099E-2</v>
      </c>
      <c r="E51">
        <v>-1.56290585893976</v>
      </c>
      <c r="F51">
        <v>-13.436745512243601</v>
      </c>
    </row>
    <row r="52" spans="1:6">
      <c r="A52" s="7">
        <v>39904</v>
      </c>
      <c r="B52">
        <v>13.594876704914901</v>
      </c>
      <c r="C52">
        <v>5.9443043380266802</v>
      </c>
      <c r="D52">
        <v>-1.4765962749210699E-2</v>
      </c>
      <c r="E52">
        <v>3.74412783577645</v>
      </c>
      <c r="F52">
        <v>-14.4389772168324</v>
      </c>
    </row>
    <row r="53" spans="1:6">
      <c r="A53" s="7">
        <v>39995</v>
      </c>
      <c r="B53">
        <v>12.951880201786301</v>
      </c>
      <c r="C53">
        <v>5.6796397005393802</v>
      </c>
      <c r="D53">
        <v>-5.1805748634010503E-2</v>
      </c>
      <c r="E53">
        <v>2.60336184398375</v>
      </c>
      <c r="F53">
        <v>-15.3869670264371</v>
      </c>
    </row>
    <row r="54" spans="1:6">
      <c r="A54" s="7">
        <v>40087</v>
      </c>
      <c r="B54">
        <v>13.0314549293391</v>
      </c>
      <c r="C54">
        <v>5.7232702437840102</v>
      </c>
      <c r="D54">
        <v>-7.2124308703890402E-2</v>
      </c>
      <c r="E54">
        <v>6.1173122541042604</v>
      </c>
      <c r="F54">
        <v>-14.557790440324601</v>
      </c>
    </row>
    <row r="55" spans="1:6">
      <c r="A55" s="7">
        <v>40179</v>
      </c>
      <c r="B55">
        <v>11.647708075876301</v>
      </c>
      <c r="C55">
        <v>5.1154055678864099</v>
      </c>
      <c r="D55">
        <v>-6.4148841299156406E-2</v>
      </c>
      <c r="E55">
        <v>6.3841564361155206E-2</v>
      </c>
      <c r="F55">
        <v>-12.464732405483099</v>
      </c>
    </row>
    <row r="56" spans="1:6">
      <c r="A56" s="7">
        <v>40269</v>
      </c>
      <c r="B56">
        <v>12.3686409779434</v>
      </c>
      <c r="C56">
        <v>5.4265990559506498</v>
      </c>
      <c r="D56">
        <v>-5.57016957174351E-2</v>
      </c>
      <c r="E56">
        <v>8.2175840288221007</v>
      </c>
      <c r="F56">
        <v>-12.7594114944631</v>
      </c>
    </row>
    <row r="57" spans="1:6">
      <c r="A57" s="7">
        <v>40360</v>
      </c>
      <c r="B57">
        <v>12.791923467372101</v>
      </c>
      <c r="C57">
        <v>5.6183180093070799</v>
      </c>
      <c r="D57">
        <v>-7.1364842215818999E-2</v>
      </c>
      <c r="E57">
        <v>6.3204193769249697</v>
      </c>
      <c r="F57">
        <v>-12.311256395393</v>
      </c>
    </row>
    <row r="58" spans="1:6">
      <c r="A58" s="7">
        <v>40452</v>
      </c>
      <c r="B58">
        <v>13.627909642409501</v>
      </c>
      <c r="C58">
        <v>5.9838774541209103</v>
      </c>
      <c r="D58">
        <v>-7.2336725647792893E-2</v>
      </c>
      <c r="E58">
        <v>8.3146607978014799</v>
      </c>
      <c r="F58">
        <v>-12.714492125934999</v>
      </c>
    </row>
    <row r="59" spans="1:6">
      <c r="A59" s="7">
        <v>40544</v>
      </c>
      <c r="B59">
        <v>12.7839380324081</v>
      </c>
      <c r="C59">
        <v>5.6097318988920399</v>
      </c>
      <c r="D59">
        <v>-5.9692149330242403E-2</v>
      </c>
      <c r="E59">
        <v>1.40049171202281</v>
      </c>
      <c r="F59">
        <v>-11.572601653607901</v>
      </c>
    </row>
    <row r="60" spans="1:6">
      <c r="A60" s="7">
        <v>40634</v>
      </c>
      <c r="B60">
        <v>13.303384414983499</v>
      </c>
      <c r="C60">
        <v>5.8184135839254401</v>
      </c>
      <c r="D60">
        <v>-1.8028027400891999E-2</v>
      </c>
      <c r="E60">
        <v>6.8903440397705298</v>
      </c>
      <c r="F60">
        <v>-11.9447559700998</v>
      </c>
    </row>
    <row r="61" spans="1:6">
      <c r="A61" s="7">
        <v>40725</v>
      </c>
      <c r="B61">
        <v>13.583820030305899</v>
      </c>
      <c r="C61">
        <v>5.9494833053823299</v>
      </c>
      <c r="D61">
        <v>-3.7680020676761503E-2</v>
      </c>
      <c r="E61">
        <v>5.53258094532453</v>
      </c>
      <c r="F61">
        <v>-12.5796658913595</v>
      </c>
    </row>
    <row r="62" spans="1:6">
      <c r="A62" s="7">
        <v>40817</v>
      </c>
      <c r="B62">
        <v>14.3086837644538</v>
      </c>
      <c r="C62">
        <v>6.2680262455571301</v>
      </c>
      <c r="D62">
        <v>-4.21288088290519E-2</v>
      </c>
      <c r="E62">
        <v>7.7382178506727497</v>
      </c>
      <c r="F62">
        <v>-13.675373113603399</v>
      </c>
    </row>
    <row r="63" spans="1:6">
      <c r="A63" s="7">
        <v>40909</v>
      </c>
      <c r="B63">
        <v>13.2860359678533</v>
      </c>
      <c r="C63">
        <v>5.82323696870648</v>
      </c>
      <c r="D63">
        <v>-4.6419742100438699E-2</v>
      </c>
      <c r="E63">
        <v>0.94886777666579303</v>
      </c>
      <c r="F63">
        <v>-12.816961794291601</v>
      </c>
    </row>
    <row r="64" spans="1:6">
      <c r="A64" s="7">
        <v>41000</v>
      </c>
      <c r="B64">
        <v>13.561773438017701</v>
      </c>
      <c r="C64">
        <v>5.9326157212992596</v>
      </c>
      <c r="D64">
        <v>-2.1107831189474201E-2</v>
      </c>
      <c r="E64">
        <v>6.3536818141681097</v>
      </c>
      <c r="F64">
        <v>-13.0556075410625</v>
      </c>
    </row>
    <row r="65" spans="1:6">
      <c r="A65" s="7">
        <v>41091</v>
      </c>
      <c r="B65">
        <v>13.8281092820562</v>
      </c>
      <c r="C65">
        <v>6.0654459376706802</v>
      </c>
      <c r="D65">
        <v>-5.88902956162154E-2</v>
      </c>
      <c r="E65">
        <v>5.9560662381149996</v>
      </c>
      <c r="F65">
        <v>-13.1515349757053</v>
      </c>
    </row>
    <row r="66" spans="1:6">
      <c r="A66" s="7">
        <v>41183</v>
      </c>
      <c r="B66">
        <v>14.284880422322001</v>
      </c>
      <c r="C66">
        <v>6.27325176851883</v>
      </c>
      <c r="D66">
        <v>-7.7896124575923903E-2</v>
      </c>
      <c r="E66">
        <v>6.9759943738517904</v>
      </c>
      <c r="F66">
        <v>-13.3187860660372</v>
      </c>
    </row>
    <row r="67" spans="1:6">
      <c r="A67" s="7">
        <v>41275</v>
      </c>
      <c r="B67">
        <v>13.028385600441901</v>
      </c>
      <c r="C67">
        <v>5.7155282919530599</v>
      </c>
      <c r="D67">
        <v>-5.7468233251346597E-2</v>
      </c>
      <c r="E67">
        <v>8.0803358091543504E-3</v>
      </c>
      <c r="F67">
        <v>-12.1816228950224</v>
      </c>
    </row>
    <row r="68" spans="1:6">
      <c r="A68" s="7">
        <v>41365</v>
      </c>
      <c r="B68">
        <v>13.4056108263454</v>
      </c>
      <c r="C68">
        <v>5.8684022537266696</v>
      </c>
      <c r="D68">
        <v>-3.0252003290303701E-2</v>
      </c>
      <c r="E68">
        <v>6.5512461989171697</v>
      </c>
      <c r="F68">
        <v>-12.540511505797999</v>
      </c>
    </row>
    <row r="69" spans="1:6">
      <c r="A69" s="7">
        <v>41456</v>
      </c>
      <c r="B69">
        <v>13.5937404050566</v>
      </c>
      <c r="C69">
        <v>5.9608809039058199</v>
      </c>
      <c r="D69">
        <v>-5.3854750475470302E-2</v>
      </c>
      <c r="E69">
        <v>5.347668226103</v>
      </c>
      <c r="F69">
        <v>-12.7833620500235</v>
      </c>
    </row>
    <row r="70" spans="1:6">
      <c r="A70" s="7">
        <v>41548</v>
      </c>
      <c r="B70">
        <v>14.2633657204182</v>
      </c>
      <c r="C70">
        <v>6.2616231173551196</v>
      </c>
      <c r="D70">
        <v>-7.2786720773586902E-2</v>
      </c>
      <c r="E70">
        <v>7.6931157060610103</v>
      </c>
      <c r="F70">
        <v>-13.799270690640199</v>
      </c>
    </row>
    <row r="71" spans="1:6">
      <c r="A71" s="7">
        <v>41640</v>
      </c>
      <c r="B71">
        <v>12.7921916739263</v>
      </c>
      <c r="C71">
        <v>5.6125338500584103</v>
      </c>
      <c r="D71">
        <v>-5.7853649429591002E-2</v>
      </c>
      <c r="E71">
        <v>-0.85268389896123198</v>
      </c>
      <c r="F71">
        <v>-12.4634735242741</v>
      </c>
    </row>
    <row r="72" spans="1:6">
      <c r="A72" s="7">
        <v>41730</v>
      </c>
      <c r="B72">
        <v>12.3743231502035</v>
      </c>
      <c r="C72">
        <v>5.4254719022757198</v>
      </c>
      <c r="D72">
        <v>-4.7438875180424299E-2</v>
      </c>
      <c r="E72">
        <v>3.5975993004067299</v>
      </c>
      <c r="F72">
        <v>-12.0121962178721</v>
      </c>
    </row>
    <row r="73" spans="1:6">
      <c r="A73" s="7">
        <v>41821</v>
      </c>
      <c r="B73">
        <v>11.9578506910344</v>
      </c>
      <c r="C73">
        <v>5.2627851447126197</v>
      </c>
      <c r="D73">
        <v>-9.1435681810883504E-2</v>
      </c>
      <c r="E73">
        <v>2.93716700753725</v>
      </c>
      <c r="F73">
        <v>-11.523587780370599</v>
      </c>
    </row>
    <row r="74" spans="1:6">
      <c r="A74" s="7">
        <v>41913</v>
      </c>
      <c r="B74">
        <v>12.148607567971499</v>
      </c>
      <c r="C74">
        <v>5.3478131215125897</v>
      </c>
      <c r="D74">
        <v>-9.5352616172257598E-2</v>
      </c>
      <c r="E74">
        <v>5.3018381109873198</v>
      </c>
      <c r="F74">
        <v>-11.7531857199561</v>
      </c>
    </row>
    <row r="75" spans="1:6">
      <c r="A75" s="7">
        <v>42005</v>
      </c>
      <c r="B75">
        <v>10.5859921197913</v>
      </c>
      <c r="C75">
        <v>4.6484088982244396</v>
      </c>
      <c r="D75">
        <v>-5.6663518366432401E-2</v>
      </c>
      <c r="E75">
        <v>-1.96418990997586</v>
      </c>
      <c r="F75">
        <v>-10.6192230399368</v>
      </c>
    </row>
    <row r="76" spans="1:6">
      <c r="A76" s="7">
        <v>42095</v>
      </c>
      <c r="B76">
        <v>10.4271028288958</v>
      </c>
      <c r="C76">
        <v>4.5640201132985103</v>
      </c>
      <c r="D76">
        <v>-2.2342444736409801E-2</v>
      </c>
      <c r="E76">
        <v>3.7649003862427399</v>
      </c>
      <c r="F76">
        <v>-10.6877413036528</v>
      </c>
    </row>
    <row r="77" spans="1:6">
      <c r="A77" s="7">
        <v>42186</v>
      </c>
      <c r="B77">
        <v>10.209161156981899</v>
      </c>
      <c r="C77">
        <v>4.4874046825757103</v>
      </c>
      <c r="D77">
        <v>-6.4871053039821894E-2</v>
      </c>
      <c r="E77">
        <v>3.09899812458525</v>
      </c>
      <c r="F77">
        <v>-10.647291675044301</v>
      </c>
    </row>
    <row r="78" spans="1:6">
      <c r="A78" s="7">
        <v>42278</v>
      </c>
      <c r="B78">
        <v>10.807874730168599</v>
      </c>
      <c r="C78">
        <v>4.7560492105075296</v>
      </c>
      <c r="D78">
        <v>-8.1226261979001596E-2</v>
      </c>
      <c r="E78">
        <v>6.5700326706557899</v>
      </c>
      <c r="F78">
        <v>-11.355342827193001</v>
      </c>
    </row>
    <row r="79" spans="1:6">
      <c r="A79" s="7">
        <v>42370</v>
      </c>
      <c r="B79">
        <v>9.5401125749020697</v>
      </c>
      <c r="C79">
        <v>4.18755579034843</v>
      </c>
      <c r="D79">
        <v>-4.7407632125077898E-2</v>
      </c>
      <c r="E79">
        <v>-1.0259152589183</v>
      </c>
      <c r="F79">
        <v>-9.3042202140396597</v>
      </c>
    </row>
    <row r="80" spans="1:6">
      <c r="A80" s="7">
        <v>42461</v>
      </c>
      <c r="B80">
        <v>9.4698124147733598</v>
      </c>
      <c r="C80">
        <v>4.1530744805486703</v>
      </c>
      <c r="D80">
        <v>-3.8761917614477899E-2</v>
      </c>
      <c r="E80">
        <v>3.8939857268028399</v>
      </c>
      <c r="F80">
        <v>-9.1197850969846304</v>
      </c>
    </row>
    <row r="81" spans="1:6">
      <c r="A81" s="7">
        <v>42552</v>
      </c>
      <c r="B81">
        <v>9.5535762540519897</v>
      </c>
      <c r="C81">
        <v>4.2123921044096102</v>
      </c>
      <c r="D81">
        <v>-9.0807353691738604E-2</v>
      </c>
      <c r="E81">
        <v>3.81183663624893</v>
      </c>
      <c r="F81">
        <v>-9.2215891558305891</v>
      </c>
    </row>
    <row r="82" spans="1:6">
      <c r="A82" s="7">
        <v>42644</v>
      </c>
      <c r="B82">
        <v>10.131556989378</v>
      </c>
      <c r="C82">
        <v>4.4708805431402201</v>
      </c>
      <c r="D82">
        <v>-0.104642764511094</v>
      </c>
      <c r="E82">
        <v>5.9018066214619003</v>
      </c>
      <c r="F82">
        <v>-9.6473411724484492</v>
      </c>
    </row>
    <row r="83" spans="1:6">
      <c r="A83" s="7">
        <v>42736</v>
      </c>
      <c r="B83">
        <v>8.6616713641847003</v>
      </c>
      <c r="C83">
        <v>3.8275973186188699</v>
      </c>
      <c r="D83">
        <v>-0.101714361016095</v>
      </c>
      <c r="E83">
        <v>-2.3035869729544598</v>
      </c>
      <c r="F83">
        <v>-7.8246146321332404</v>
      </c>
    </row>
    <row r="84" spans="1:6">
      <c r="A84" s="7">
        <v>42826</v>
      </c>
      <c r="B84">
        <v>8.5637490527196594</v>
      </c>
      <c r="C84">
        <v>3.7762253177952601</v>
      </c>
      <c r="D84">
        <v>-8.2019112111674605E-2</v>
      </c>
      <c r="E84">
        <v>3.1368732650662401</v>
      </c>
      <c r="F84">
        <v>-7.5937953056345098</v>
      </c>
    </row>
    <row r="85" spans="1:6">
      <c r="A85" s="7">
        <v>42917</v>
      </c>
      <c r="B85">
        <v>8.6634492155860094</v>
      </c>
      <c r="C85">
        <v>3.8440357818234099</v>
      </c>
      <c r="D85">
        <v>-0.13757280774107</v>
      </c>
      <c r="E85">
        <v>3.2863058449536302</v>
      </c>
      <c r="F85">
        <v>-7.8249730752834896</v>
      </c>
    </row>
    <row r="86" spans="1:6">
      <c r="A86" s="7">
        <v>43009</v>
      </c>
      <c r="B86">
        <v>9.1492399607098598</v>
      </c>
      <c r="C86">
        <v>4.0705859752506699</v>
      </c>
      <c r="D86">
        <v>-0.17047474783372399</v>
      </c>
      <c r="E86">
        <v>5.0126087956821301</v>
      </c>
      <c r="F86">
        <v>-8.2285246969408306</v>
      </c>
    </row>
    <row r="87" spans="1:6">
      <c r="A87" s="7">
        <v>43101</v>
      </c>
      <c r="B87">
        <v>7.8186600841831897</v>
      </c>
      <c r="C87">
        <v>3.47950066526885</v>
      </c>
      <c r="D87">
        <v>-0.147749107431145</v>
      </c>
      <c r="E87">
        <v>-2.3390944004447598</v>
      </c>
      <c r="F87">
        <v>-7.0617334463600798</v>
      </c>
    </row>
    <row r="88" spans="1:6">
      <c r="A88" s="7">
        <v>43191</v>
      </c>
      <c r="B88">
        <v>8.3073393607068002</v>
      </c>
      <c r="C88">
        <v>3.6731069825134499</v>
      </c>
      <c r="D88">
        <v>-0.102336636586614</v>
      </c>
      <c r="E88">
        <v>4.9811169133381599</v>
      </c>
      <c r="F88">
        <v>-7.7304356417557498</v>
      </c>
    </row>
    <row r="89" spans="1:6">
      <c r="A89" s="7">
        <v>43282</v>
      </c>
      <c r="B89">
        <v>8.2448811830146607</v>
      </c>
      <c r="C89">
        <v>3.65716278379842</v>
      </c>
      <c r="D89">
        <v>-0.12829014782928599</v>
      </c>
      <c r="E89">
        <v>2.4181725640851299</v>
      </c>
      <c r="F89">
        <v>-7.9075544427236597</v>
      </c>
    </row>
    <row r="90" spans="1:6">
      <c r="A90" s="7">
        <v>43374</v>
      </c>
      <c r="B90">
        <v>8.9479976075591594</v>
      </c>
      <c r="C90">
        <v>3.9800877245227899</v>
      </c>
      <c r="D90">
        <v>-0.16451895223285401</v>
      </c>
      <c r="E90">
        <v>6.0468204210758403</v>
      </c>
      <c r="F90">
        <v>-8.7042478814205602</v>
      </c>
    </row>
    <row r="91" spans="1:6">
      <c r="A91" s="7">
        <v>43466</v>
      </c>
      <c r="B91">
        <v>7.3949851762734697</v>
      </c>
      <c r="C91">
        <v>3.2914310043086101</v>
      </c>
      <c r="D91">
        <v>-0.14083353128307899</v>
      </c>
      <c r="E91">
        <v>-3.18961049732843</v>
      </c>
      <c r="F91">
        <v>-7.2455375748634703</v>
      </c>
    </row>
    <row r="92" spans="1:6">
      <c r="A92" s="7">
        <v>43556</v>
      </c>
      <c r="B92">
        <v>7.4211941629137304</v>
      </c>
      <c r="C92">
        <v>3.2919342668046099</v>
      </c>
      <c r="D92">
        <v>-0.11577677749448299</v>
      </c>
      <c r="E92">
        <v>3.36864262713812</v>
      </c>
      <c r="F92">
        <v>-7.1485476178237999</v>
      </c>
    </row>
    <row r="93" spans="1:6">
      <c r="A93" s="7">
        <v>43647</v>
      </c>
      <c r="B93">
        <v>7.4886367752791099</v>
      </c>
      <c r="C93">
        <v>3.3402570439468202</v>
      </c>
      <c r="D93">
        <v>-0.15897044689004</v>
      </c>
      <c r="E93">
        <v>2.8944082726104599</v>
      </c>
      <c r="F93">
        <v>-7.1632137039384398</v>
      </c>
    </row>
    <row r="94" spans="1:6">
      <c r="A94" s="7">
        <v>43739</v>
      </c>
      <c r="B94">
        <v>8.1299232898528793</v>
      </c>
      <c r="C94">
        <v>3.63196806547748</v>
      </c>
      <c r="D94">
        <v>-0.18556406420222901</v>
      </c>
      <c r="E94">
        <v>5.4341767569835602</v>
      </c>
      <c r="F94">
        <v>-7.99860326523397</v>
      </c>
    </row>
    <row r="95" spans="1:6">
      <c r="A95" s="7">
        <v>43831</v>
      </c>
      <c r="B95">
        <v>6.1255489806183299</v>
      </c>
      <c r="C95">
        <v>2.7500732783763699</v>
      </c>
      <c r="D95">
        <v>-0.170816834497176</v>
      </c>
      <c r="E95">
        <v>-5.2134965886679101</v>
      </c>
      <c r="F95">
        <v>-6.0825304388936496</v>
      </c>
    </row>
    <row r="96" spans="1:6">
      <c r="A96" s="7">
        <v>43922</v>
      </c>
      <c r="B96">
        <v>2.17057189722685</v>
      </c>
      <c r="C96">
        <v>1.0207337346460901</v>
      </c>
      <c r="D96">
        <v>-0.16642509979688899</v>
      </c>
      <c r="E96">
        <v>-12.899664704333301</v>
      </c>
      <c r="F96">
        <v>-3.5688530121676401</v>
      </c>
    </row>
    <row r="97" spans="1:6">
      <c r="A97" s="7">
        <v>44013</v>
      </c>
      <c r="B97">
        <v>4.1931147781998996</v>
      </c>
      <c r="C97">
        <v>1.91083619217599</v>
      </c>
      <c r="D97">
        <v>-0.18179543721284999</v>
      </c>
      <c r="E97">
        <v>9.98190235251184</v>
      </c>
      <c r="F97">
        <v>-5.6306695098121402</v>
      </c>
    </row>
    <row r="98" spans="1:6">
      <c r="A98" s="7">
        <v>44105</v>
      </c>
      <c r="B98">
        <v>7.9081039064465504</v>
      </c>
      <c r="C98">
        <v>3.53216511750046</v>
      </c>
      <c r="D98">
        <v>-0.17888194736445701</v>
      </c>
      <c r="E98">
        <v>15.8969747694404</v>
      </c>
      <c r="F98">
        <v>-9.4037865769325908</v>
      </c>
    </row>
    <row r="99" spans="1:6">
      <c r="A99" s="7">
        <v>44197</v>
      </c>
      <c r="B99">
        <v>8.0367358169677399</v>
      </c>
      <c r="C99">
        <v>3.5899010361777801</v>
      </c>
      <c r="D99">
        <v>-0.182437956169827</v>
      </c>
      <c r="E99">
        <v>3.54249463689619</v>
      </c>
      <c r="F99">
        <v>-9.5000324341869806</v>
      </c>
    </row>
    <row r="100" spans="1:6">
      <c r="A100" s="7">
        <v>44287</v>
      </c>
      <c r="B100">
        <v>8.8377541511664095</v>
      </c>
      <c r="C100">
        <v>3.9267849063906</v>
      </c>
      <c r="D100">
        <v>-0.15272419074400001</v>
      </c>
      <c r="E100">
        <v>7.3176558373835796</v>
      </c>
      <c r="F100">
        <v>-10.450526417546399</v>
      </c>
    </row>
    <row r="101" spans="1:6">
      <c r="A101" s="7">
        <v>44378</v>
      </c>
      <c r="B101">
        <v>9.9524053606105802</v>
      </c>
      <c r="C101">
        <v>4.39544950568476</v>
      </c>
      <c r="D101">
        <v>-0.111093029512058</v>
      </c>
      <c r="E101">
        <v>8.1173484822831501</v>
      </c>
      <c r="F101">
        <v>-12.0470243445299</v>
      </c>
    </row>
    <row r="102" spans="1:6">
      <c r="A102" s="7">
        <v>44470</v>
      </c>
      <c r="B102">
        <v>11.1460414696241</v>
      </c>
      <c r="C102">
        <v>4.9004189790903396</v>
      </c>
      <c r="D102">
        <v>-7.3597942277014203E-2</v>
      </c>
      <c r="E102">
        <v>9.1092147950965501</v>
      </c>
      <c r="F102">
        <v>-12.8689845054516</v>
      </c>
    </row>
    <row r="103" spans="1:6">
      <c r="A103" s="7">
        <v>44562</v>
      </c>
      <c r="B103">
        <v>9.3682715070466909</v>
      </c>
      <c r="C103">
        <v>4.1228976969735003</v>
      </c>
      <c r="D103">
        <v>-7.1212277824906897E-2</v>
      </c>
      <c r="E103">
        <v>-2.25579901987519</v>
      </c>
      <c r="F103">
        <v>-10.2120856706397</v>
      </c>
    </row>
    <row r="104" spans="1:6">
      <c r="A104" s="7">
        <v>44652</v>
      </c>
      <c r="B104">
        <v>8.6011530885159804</v>
      </c>
      <c r="C104">
        <v>3.7468618733784198</v>
      </c>
      <c r="D104">
        <v>2.2613309594940002E-2</v>
      </c>
      <c r="E104">
        <v>1.41604433433774</v>
      </c>
      <c r="F104">
        <v>-9.1738775478410606</v>
      </c>
    </row>
    <row r="105" spans="1:6">
      <c r="A105" s="7">
        <v>44743</v>
      </c>
      <c r="B105">
        <v>8.2095533557132807</v>
      </c>
      <c r="C105">
        <v>3.5733654055977202</v>
      </c>
      <c r="D105">
        <v>2.8238347989085099E-2</v>
      </c>
      <c r="E105">
        <v>1.9328888060609599</v>
      </c>
      <c r="F105">
        <v>-8.1692639133175309</v>
      </c>
    </row>
    <row r="106" spans="1:6">
      <c r="A106" s="7">
        <v>44835</v>
      </c>
      <c r="B106">
        <v>8.0270690459743292</v>
      </c>
      <c r="C106">
        <v>3.5090558298342902</v>
      </c>
      <c r="D106">
        <v>-7.0074799227303301E-3</v>
      </c>
      <c r="E106">
        <v>2.6605700775350201</v>
      </c>
      <c r="F106">
        <v>-7.2836731079649804</v>
      </c>
    </row>
    <row r="107" spans="1:6">
      <c r="A107" s="7">
        <v>44927</v>
      </c>
      <c r="B107">
        <v>5.3442522236211101</v>
      </c>
      <c r="C107">
        <v>2.3438297153460201</v>
      </c>
      <c r="D107">
        <v>-2.20081637637045E-2</v>
      </c>
      <c r="E107">
        <v>-7.8010752933918699</v>
      </c>
      <c r="F107">
        <v>-4.2932462767756601</v>
      </c>
    </row>
    <row r="108" spans="1:6">
      <c r="A108" s="7">
        <v>45017</v>
      </c>
      <c r="B108">
        <v>4.22576953413604</v>
      </c>
      <c r="C108">
        <v>1.83867986959351</v>
      </c>
      <c r="D108">
        <v>1.60631358088494E-2</v>
      </c>
      <c r="E108">
        <v>-2.1791229216146499</v>
      </c>
      <c r="F108">
        <v>-2.9795867274384</v>
      </c>
    </row>
    <row r="109" spans="1:6">
      <c r="A109" s="7">
        <v>45108</v>
      </c>
      <c r="B109">
        <v>3.5967837411329602</v>
      </c>
      <c r="C109">
        <v>1.6062440033219401</v>
      </c>
      <c r="D109">
        <v>-8.0754567672215796E-2</v>
      </c>
      <c r="E109">
        <v>-1.18073472647788</v>
      </c>
      <c r="F109">
        <v>-1.5461515400567101</v>
      </c>
    </row>
    <row r="110" spans="1:6">
      <c r="A110" s="7">
        <v>45200</v>
      </c>
      <c r="B110">
        <v>3.8413084315609201</v>
      </c>
      <c r="C110">
        <v>1.7395783538481</v>
      </c>
      <c r="D110">
        <v>-0.14150241424704199</v>
      </c>
      <c r="E110">
        <v>1.9153912175680301</v>
      </c>
      <c r="F110">
        <v>-1.5598281477687901</v>
      </c>
    </row>
    <row r="111" spans="1:6">
      <c r="A111" s="7">
        <v>45292</v>
      </c>
      <c r="B111">
        <v>1.93171365706276</v>
      </c>
      <c r="C111">
        <v>0.90494392198120199</v>
      </c>
      <c r="D111">
        <v>-0.14017948838934299</v>
      </c>
      <c r="E111">
        <v>-7.19222828495435</v>
      </c>
      <c r="F111">
        <v>0.292015911950264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5A92-462D-4DBE-94C2-C4848F02CFBD}">
  <sheetPr>
    <tabColor theme="9" tint="0.59999389629810485"/>
  </sheetPr>
  <dimension ref="A1:AB77"/>
  <sheetViews>
    <sheetView workbookViewId="0">
      <selection activeCell="D39" sqref="D39"/>
    </sheetView>
  </sheetViews>
  <sheetFormatPr defaultRowHeight="14.25"/>
  <sheetData>
    <row r="1" spans="1:28">
      <c r="A1" t="s">
        <v>38</v>
      </c>
      <c r="B1" t="s">
        <v>44</v>
      </c>
      <c r="C1" t="s">
        <v>35</v>
      </c>
      <c r="D1" t="s">
        <v>43</v>
      </c>
      <c r="E1" t="s">
        <v>42</v>
      </c>
      <c r="F1" t="s">
        <v>41</v>
      </c>
      <c r="I1" t="s">
        <v>40</v>
      </c>
      <c r="X1" t="s">
        <v>39</v>
      </c>
      <c r="Y1" t="s">
        <v>38</v>
      </c>
      <c r="Z1" t="s">
        <v>37</v>
      </c>
      <c r="AA1" t="s">
        <v>36</v>
      </c>
      <c r="AB1" t="s">
        <v>35</v>
      </c>
    </row>
    <row r="2" spans="1:28">
      <c r="A2" s="7">
        <v>38353</v>
      </c>
      <c r="B2">
        <v>3.7073920073490099</v>
      </c>
      <c r="C2">
        <v>3.77484861013123</v>
      </c>
      <c r="D2">
        <v>-6.7026679560956898E-2</v>
      </c>
      <c r="E2">
        <v>-2.25014443417786</v>
      </c>
      <c r="F2">
        <v>-2.3888527517844902</v>
      </c>
      <c r="I2" t="s">
        <v>34</v>
      </c>
    </row>
    <row r="3" spans="1:28">
      <c r="A3" s="7">
        <v>38443</v>
      </c>
      <c r="B3">
        <v>4.0965349018296298</v>
      </c>
      <c r="C3">
        <v>3.83386633624984</v>
      </c>
      <c r="D3">
        <v>0.26310521041921298</v>
      </c>
      <c r="E3">
        <v>-1.5926501094138501</v>
      </c>
      <c r="F3">
        <v>-2.6055708675926699</v>
      </c>
      <c r="I3" t="s">
        <v>5</v>
      </c>
      <c r="J3" t="s">
        <v>7</v>
      </c>
      <c r="K3" t="s">
        <v>9</v>
      </c>
      <c r="L3" t="s">
        <v>10</v>
      </c>
      <c r="M3" t="s">
        <v>12</v>
      </c>
      <c r="N3" t="s">
        <v>14</v>
      </c>
      <c r="O3" t="s">
        <v>16</v>
      </c>
      <c r="P3" t="s">
        <v>18</v>
      </c>
      <c r="Q3" t="s">
        <v>20</v>
      </c>
      <c r="R3" t="s">
        <v>22</v>
      </c>
      <c r="S3" t="s">
        <v>24</v>
      </c>
    </row>
    <row r="4" spans="1:28">
      <c r="A4" s="7">
        <v>38534</v>
      </c>
      <c r="B4">
        <v>5.56244658296065</v>
      </c>
      <c r="C4">
        <v>4.1106791676151797</v>
      </c>
      <c r="D4">
        <v>1.4522355868172001</v>
      </c>
      <c r="E4">
        <v>-0.53417882122789695</v>
      </c>
      <c r="F4">
        <v>-3.88253548458415</v>
      </c>
      <c r="I4">
        <v>1.2987801537588901</v>
      </c>
      <c r="J4">
        <v>-0.43201099163308299</v>
      </c>
      <c r="K4">
        <v>-2.5000000000000001E-3</v>
      </c>
      <c r="L4">
        <v>0.65026661584057899</v>
      </c>
      <c r="M4">
        <v>0.17413475798139599</v>
      </c>
      <c r="N4">
        <v>1.49163670431511</v>
      </c>
      <c r="O4">
        <v>2.0784956528105099</v>
      </c>
      <c r="P4">
        <v>0.67668300746999899</v>
      </c>
      <c r="Q4">
        <v>-0.20142098761169699</v>
      </c>
      <c r="R4">
        <v>0.99988610848654602</v>
      </c>
      <c r="S4">
        <v>0.86676916212580901</v>
      </c>
    </row>
    <row r="5" spans="1:28">
      <c r="A5" s="7">
        <v>38626</v>
      </c>
      <c r="B5">
        <v>4.6167908857235203</v>
      </c>
      <c r="C5">
        <v>3.9419991675901298</v>
      </c>
      <c r="D5">
        <v>0.67524067838461799</v>
      </c>
      <c r="E5">
        <v>-9.3169057695377006E-2</v>
      </c>
      <c r="F5">
        <v>-2.69268273550944</v>
      </c>
    </row>
    <row r="6" spans="1:28">
      <c r="A6" s="7">
        <v>38718</v>
      </c>
      <c r="B6">
        <v>4.03854099235636</v>
      </c>
      <c r="C6">
        <v>3.8553847704548798</v>
      </c>
      <c r="D6">
        <v>0.18359531750793401</v>
      </c>
      <c r="E6">
        <v>-2.2989459835798701E-2</v>
      </c>
      <c r="F6">
        <v>-2.1015828424793201</v>
      </c>
    </row>
    <row r="7" spans="1:28">
      <c r="A7" s="7">
        <v>38808</v>
      </c>
      <c r="B7">
        <v>8.4584225375393594</v>
      </c>
      <c r="C7">
        <v>3.9316625946082602</v>
      </c>
      <c r="D7">
        <v>4.5272077259343897</v>
      </c>
      <c r="E7">
        <v>1.0105402917492901</v>
      </c>
      <c r="F7">
        <v>-6.6124831265886304</v>
      </c>
    </row>
    <row r="8" spans="1:28">
      <c r="A8" s="7">
        <v>38899</v>
      </c>
      <c r="B8">
        <v>6.9620241006181098</v>
      </c>
      <c r="C8">
        <v>4.2814576359046201</v>
      </c>
      <c r="D8">
        <v>2.6810540864034298</v>
      </c>
      <c r="E8">
        <v>0.54549077436854498</v>
      </c>
      <c r="F8">
        <v>-4.6247949616534596</v>
      </c>
    </row>
    <row r="9" spans="1:28">
      <c r="A9" s="7">
        <v>38991</v>
      </c>
      <c r="B9">
        <v>10.1798198327861</v>
      </c>
      <c r="C9">
        <v>4.6321721361135602</v>
      </c>
      <c r="D9">
        <v>5.5481752617676596</v>
      </c>
      <c r="E9">
        <v>0.80518213599930299</v>
      </c>
      <c r="F9">
        <v>-7.5955262901870997</v>
      </c>
    </row>
    <row r="10" spans="1:28">
      <c r="A10" s="7">
        <v>39083</v>
      </c>
      <c r="B10">
        <v>9.9138411846121794</v>
      </c>
      <c r="C10">
        <v>4.3990372695166604</v>
      </c>
      <c r="D10">
        <v>5.5153049281078896</v>
      </c>
      <c r="E10">
        <v>1.25707401070258</v>
      </c>
      <c r="F10">
        <v>-7.7383107339404003</v>
      </c>
    </row>
    <row r="11" spans="1:28">
      <c r="A11" s="7">
        <v>39173</v>
      </c>
      <c r="B11">
        <v>14.0734618008747</v>
      </c>
      <c r="C11">
        <v>4.1626755604183003</v>
      </c>
      <c r="D11">
        <v>9.9112603338759993</v>
      </c>
      <c r="E11">
        <v>1.8812949359587501</v>
      </c>
      <c r="F11">
        <v>-12.065755983871799</v>
      </c>
    </row>
    <row r="12" spans="1:28">
      <c r="A12" s="7">
        <v>39264</v>
      </c>
      <c r="B12">
        <v>17.624638256828099</v>
      </c>
      <c r="C12">
        <v>3.7085463343437</v>
      </c>
      <c r="D12">
        <v>13.9165142944392</v>
      </c>
      <c r="E12">
        <v>2.4317906640612801</v>
      </c>
      <c r="F12">
        <v>-16.799907124838199</v>
      </c>
    </row>
    <row r="13" spans="1:28">
      <c r="A13" s="7">
        <v>39356</v>
      </c>
      <c r="B13">
        <v>24.081967392652199</v>
      </c>
      <c r="C13">
        <v>4.1162942858684097</v>
      </c>
      <c r="D13">
        <v>19.9661419177698</v>
      </c>
      <c r="E13">
        <v>2.3455216218446799</v>
      </c>
      <c r="F13">
        <v>-24.109620100683198</v>
      </c>
    </row>
    <row r="14" spans="1:28">
      <c r="A14" s="7">
        <v>39448</v>
      </c>
      <c r="B14">
        <v>25.696426155173299</v>
      </c>
      <c r="C14">
        <v>4.5119358400907297</v>
      </c>
      <c r="D14">
        <v>21.185004186284001</v>
      </c>
      <c r="E14">
        <v>2.2977717914243398</v>
      </c>
      <c r="F14">
        <v>-25.834111696804101</v>
      </c>
    </row>
    <row r="15" spans="1:28">
      <c r="A15" s="7">
        <v>39539</v>
      </c>
      <c r="B15">
        <v>31.2495138579038</v>
      </c>
      <c r="C15">
        <v>3.8639006319121099</v>
      </c>
      <c r="D15">
        <v>27.386053291482501</v>
      </c>
      <c r="E15">
        <v>3.2576212511732998</v>
      </c>
      <c r="F15">
        <v>-32.236201701279903</v>
      </c>
    </row>
    <row r="16" spans="1:28">
      <c r="A16" s="7">
        <v>39630</v>
      </c>
      <c r="B16">
        <v>16.419491023478301</v>
      </c>
      <c r="C16">
        <v>3.8437396050842501</v>
      </c>
      <c r="D16">
        <v>12.576189187715</v>
      </c>
      <c r="E16">
        <v>1.26015585292657</v>
      </c>
      <c r="F16">
        <v>-15.9429708253247</v>
      </c>
    </row>
    <row r="17" spans="1:17">
      <c r="A17" s="7">
        <v>39722</v>
      </c>
      <c r="B17">
        <v>13.1443203369806</v>
      </c>
      <c r="C17">
        <v>3.5653891008034599</v>
      </c>
      <c r="D17">
        <v>9.5793373037378604</v>
      </c>
      <c r="E17">
        <v>0.25632185605513802</v>
      </c>
      <c r="F17">
        <v>-12.234839173037299</v>
      </c>
    </row>
    <row r="18" spans="1:17">
      <c r="A18" s="7">
        <v>39814</v>
      </c>
      <c r="B18">
        <v>1.2204412665436</v>
      </c>
      <c r="C18">
        <v>3.5802238756795499</v>
      </c>
      <c r="D18">
        <v>-2.3593748520202502</v>
      </c>
      <c r="E18">
        <v>-1.3770923842053</v>
      </c>
      <c r="F18">
        <v>-3.08424775838589</v>
      </c>
    </row>
    <row r="19" spans="1:17">
      <c r="A19" s="7">
        <v>39904</v>
      </c>
      <c r="B19">
        <v>-18.5479927945557</v>
      </c>
      <c r="C19">
        <v>3.59310776761567</v>
      </c>
      <c r="D19">
        <v>-22.140691337689798</v>
      </c>
      <c r="E19">
        <v>-3.2368302446980102</v>
      </c>
      <c r="F19">
        <v>14.2247136866866</v>
      </c>
    </row>
    <row r="20" spans="1:17">
      <c r="A20" s="7">
        <v>39995</v>
      </c>
      <c r="B20">
        <v>-41.520583608538203</v>
      </c>
      <c r="C20">
        <v>4.1999590459360201</v>
      </c>
      <c r="D20">
        <v>-45.720064314782</v>
      </c>
      <c r="E20">
        <v>-5.1355876808270304</v>
      </c>
      <c r="F20">
        <v>38.2103366827656</v>
      </c>
      <c r="I20" t="s">
        <v>33</v>
      </c>
      <c r="M20" t="s">
        <v>32</v>
      </c>
    </row>
    <row r="21" spans="1:17">
      <c r="A21" s="7">
        <v>40087</v>
      </c>
      <c r="B21">
        <v>-46.889737179188202</v>
      </c>
      <c r="C21">
        <v>4.1366043699624298</v>
      </c>
      <c r="D21">
        <v>-51.025870425018397</v>
      </c>
      <c r="E21">
        <v>-4.86521074058669</v>
      </c>
      <c r="F21">
        <v>45.484073412952498</v>
      </c>
      <c r="I21" t="s">
        <v>31</v>
      </c>
      <c r="J21">
        <v>0.18493541145145101</v>
      </c>
      <c r="M21">
        <v>-306.22303517928299</v>
      </c>
    </row>
    <row r="22" spans="1:17">
      <c r="A22" s="7">
        <v>40179</v>
      </c>
      <c r="B22">
        <v>-53.943616691200702</v>
      </c>
      <c r="C22">
        <v>3.7925443126799498</v>
      </c>
      <c r="D22">
        <v>-57.735729065268998</v>
      </c>
      <c r="E22">
        <v>-4.6763746944557196</v>
      </c>
      <c r="F22">
        <v>53.924383071688602</v>
      </c>
      <c r="I22" t="s">
        <v>30</v>
      </c>
      <c r="J22">
        <v>5.0102580367828602E-2</v>
      </c>
    </row>
    <row r="23" spans="1:17">
      <c r="A23" s="7">
        <v>40269</v>
      </c>
      <c r="B23">
        <v>-31.5914168208717</v>
      </c>
      <c r="C23">
        <v>4.13429443124092</v>
      </c>
      <c r="D23">
        <v>-35.725240391062698</v>
      </c>
      <c r="E23">
        <v>-2.9322340252399499</v>
      </c>
      <c r="F23">
        <v>32.207850505379497</v>
      </c>
    </row>
    <row r="24" spans="1:17">
      <c r="A24" s="7">
        <v>40360</v>
      </c>
      <c r="B24">
        <v>-21.628114122983899</v>
      </c>
      <c r="C24">
        <v>4.02070630491027</v>
      </c>
      <c r="D24">
        <v>-25.648362503567999</v>
      </c>
      <c r="E24">
        <v>-1.1534228292523501</v>
      </c>
      <c r="F24">
        <v>22.836212153927999</v>
      </c>
    </row>
    <row r="25" spans="1:17">
      <c r="A25" s="7">
        <v>40452</v>
      </c>
      <c r="B25">
        <v>-20.8558931495844</v>
      </c>
      <c r="C25">
        <v>3.8509339123210098</v>
      </c>
      <c r="D25">
        <v>-24.706388473213899</v>
      </c>
      <c r="E25">
        <v>-0.46679132596818801</v>
      </c>
      <c r="F25">
        <v>22.801353131190499</v>
      </c>
      <c r="I25" t="s">
        <v>29</v>
      </c>
    </row>
    <row r="26" spans="1:17">
      <c r="A26" s="7">
        <v>40544</v>
      </c>
      <c r="B26">
        <v>-16.318454983356901</v>
      </c>
      <c r="C26">
        <v>3.80845340984229</v>
      </c>
      <c r="D26">
        <v>-20.126474642676499</v>
      </c>
      <c r="E26">
        <v>-7.6208787633049696E-2</v>
      </c>
      <c r="F26">
        <v>18.3737038307079</v>
      </c>
      <c r="I26" t="s">
        <v>28</v>
      </c>
    </row>
    <row r="27" spans="1:17">
      <c r="A27" s="7">
        <v>40634</v>
      </c>
      <c r="B27">
        <v>2.0667629187322798</v>
      </c>
      <c r="C27">
        <v>3.6974999992421802</v>
      </c>
      <c r="D27">
        <v>-1.6303159666389999</v>
      </c>
      <c r="E27">
        <v>1.0034076161955501</v>
      </c>
      <c r="F27">
        <v>0.63553801484299599</v>
      </c>
      <c r="I27">
        <v>1029.8932279931901</v>
      </c>
      <c r="J27">
        <v>1028.86293421094</v>
      </c>
      <c r="K27">
        <v>1027.8322725957401</v>
      </c>
      <c r="L27">
        <v>1.0302937822482101</v>
      </c>
      <c r="M27">
        <v>1.0306616152069701</v>
      </c>
      <c r="N27">
        <v>1.0307923130232799</v>
      </c>
      <c r="O27">
        <v>0</v>
      </c>
      <c r="P27">
        <v>0</v>
      </c>
      <c r="Q27">
        <v>0</v>
      </c>
    </row>
    <row r="28" spans="1:17">
      <c r="A28" s="7">
        <v>40725</v>
      </c>
      <c r="B28">
        <v>-12.023728807191899</v>
      </c>
      <c r="C28">
        <v>3.7746686912745502</v>
      </c>
      <c r="D28">
        <v>-15.797967595736401</v>
      </c>
      <c r="E28">
        <v>0.28019822386022503</v>
      </c>
      <c r="F28">
        <v>15.2167945889968</v>
      </c>
    </row>
    <row r="29" spans="1:17">
      <c r="A29" s="7">
        <v>40817</v>
      </c>
      <c r="B29">
        <v>1.5270193167261701</v>
      </c>
      <c r="C29">
        <v>4.0555664548696901</v>
      </c>
      <c r="D29">
        <v>-2.52808524354207</v>
      </c>
      <c r="E29">
        <v>0.87839780221861496</v>
      </c>
      <c r="F29">
        <v>1.40785199297797</v>
      </c>
      <c r="I29" t="s">
        <v>27</v>
      </c>
    </row>
    <row r="30" spans="1:17">
      <c r="A30" s="7">
        <v>40909</v>
      </c>
      <c r="B30">
        <v>20.9260006785744</v>
      </c>
      <c r="C30">
        <v>4.0552851804532697</v>
      </c>
      <c r="D30">
        <v>16.871177360687899</v>
      </c>
      <c r="E30">
        <v>2.18956374479149</v>
      </c>
      <c r="F30">
        <v>-18.8742942958866</v>
      </c>
      <c r="I30">
        <v>0.85535402081132605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>
      <c r="A31" s="7">
        <v>41000</v>
      </c>
      <c r="B31">
        <v>15.877233846232899</v>
      </c>
      <c r="C31">
        <v>4.3392063970984296</v>
      </c>
      <c r="D31">
        <v>11.5385216479182</v>
      </c>
      <c r="E31">
        <v>2.1177754283146402</v>
      </c>
      <c r="F31">
        <v>-13.6323394940004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7">
        <v>41091</v>
      </c>
      <c r="B32">
        <v>-4.5030912908748499</v>
      </c>
      <c r="C32">
        <v>4.4686525210248904</v>
      </c>
      <c r="D32">
        <v>-8.9712348703010196</v>
      </c>
      <c r="E32">
        <v>1.13365566073594</v>
      </c>
      <c r="F32">
        <v>6.82562268344335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7">
        <v>41183</v>
      </c>
      <c r="B33">
        <v>-2.4311434563616601</v>
      </c>
      <c r="C33">
        <v>4.3670043434248402</v>
      </c>
      <c r="D33">
        <v>-6.7976504350525699</v>
      </c>
      <c r="E33">
        <v>0.93145224942600202</v>
      </c>
      <c r="F33">
        <v>4.7478431208448901</v>
      </c>
      <c r="I33">
        <v>0.2</v>
      </c>
      <c r="J33">
        <v>0</v>
      </c>
      <c r="K33">
        <v>0</v>
      </c>
      <c r="L33">
        <v>0.215573611319405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>
      <c r="A34" s="7">
        <v>41275</v>
      </c>
      <c r="B34">
        <v>-1.41382527008032</v>
      </c>
      <c r="C34">
        <v>4.3813195699098699</v>
      </c>
      <c r="D34">
        <v>-5.7946458448734397</v>
      </c>
      <c r="E34">
        <v>0.64683208241399404</v>
      </c>
      <c r="F34">
        <v>4.1016598275186196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>
      <c r="A35" s="7">
        <v>41365</v>
      </c>
      <c r="B35">
        <v>-3.1348503382307999</v>
      </c>
      <c r="C35">
        <v>4.3374894209327097</v>
      </c>
      <c r="D35">
        <v>-7.4718457559287703</v>
      </c>
      <c r="E35">
        <v>0.33927121531110099</v>
      </c>
      <c r="F35">
        <v>5.8912261989879298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>
      <c r="A36" s="7">
        <v>41456</v>
      </c>
      <c r="B36">
        <v>-14.123344855106399</v>
      </c>
      <c r="C36">
        <v>4.4265727848538701</v>
      </c>
      <c r="D36">
        <v>-18.549413490886302</v>
      </c>
      <c r="E36">
        <v>-0.39275734732950701</v>
      </c>
      <c r="F36">
        <v>16.8064802056176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108.75663360892599</v>
      </c>
      <c r="P36">
        <v>0.2</v>
      </c>
      <c r="Q36">
        <v>0</v>
      </c>
    </row>
    <row r="37" spans="1:17">
      <c r="A37" s="7">
        <v>41548</v>
      </c>
      <c r="B37">
        <v>2.9969306586574098</v>
      </c>
      <c r="C37">
        <v>4.0594153248914404</v>
      </c>
      <c r="D37">
        <v>-1.06202233327895</v>
      </c>
      <c r="E37">
        <v>0.22093539241655</v>
      </c>
      <c r="F37">
        <v>-1.02094423362208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>
      <c r="A38" s="7">
        <v>41640</v>
      </c>
      <c r="B38">
        <v>10.318926300100999</v>
      </c>
      <c r="C38">
        <v>3.7971010755016401</v>
      </c>
      <c r="D38">
        <v>6.5222576821875498</v>
      </c>
      <c r="E38">
        <v>0.25461903835389399</v>
      </c>
      <c r="F38">
        <v>-9.1483609371665704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>
      <c r="A39" s="7">
        <v>41730</v>
      </c>
      <c r="B39">
        <v>48.807877234018598</v>
      </c>
      <c r="C39">
        <v>3.4007154994117799</v>
      </c>
      <c r="D39">
        <v>45.407549047241901</v>
      </c>
      <c r="E39">
        <v>1.6612392242730001</v>
      </c>
      <c r="F39">
        <v>-49.269060878645099</v>
      </c>
    </row>
    <row r="40" spans="1:17">
      <c r="A40" s="7">
        <v>41821</v>
      </c>
      <c r="B40">
        <v>2.0392882050330301</v>
      </c>
      <c r="C40">
        <v>3.5628129959765902</v>
      </c>
      <c r="D40">
        <v>-1.5231190167792901</v>
      </c>
      <c r="E40">
        <v>-0.66210934814125699</v>
      </c>
      <c r="F40">
        <v>-3.18611102161936</v>
      </c>
    </row>
    <row r="41" spans="1:17">
      <c r="A41" s="7">
        <v>41913</v>
      </c>
      <c r="B41">
        <v>21.5712918146086</v>
      </c>
      <c r="C41">
        <v>3.59826186228051</v>
      </c>
      <c r="D41">
        <v>17.973439763817399</v>
      </c>
      <c r="E41">
        <v>-0.118150498735986</v>
      </c>
      <c r="F41">
        <v>-23.512868100004699</v>
      </c>
    </row>
    <row r="42" spans="1:17">
      <c r="A42" s="7">
        <v>42005</v>
      </c>
      <c r="B42">
        <v>18.798282641324899</v>
      </c>
      <c r="C42">
        <v>3.4397278403941298</v>
      </c>
      <c r="D42">
        <v>15.3589465567403</v>
      </c>
      <c r="E42">
        <v>-0.102372812990325</v>
      </c>
      <c r="F42">
        <v>-20.9124914365484</v>
      </c>
    </row>
    <row r="43" spans="1:17">
      <c r="A43" s="7">
        <v>42095</v>
      </c>
      <c r="B43">
        <v>43.836821594827299</v>
      </c>
      <c r="C43">
        <v>3.2054012547548201</v>
      </c>
      <c r="D43">
        <v>40.631785408072602</v>
      </c>
      <c r="E43">
        <v>0.92248491179884695</v>
      </c>
      <c r="F43">
        <v>-45.851583587652001</v>
      </c>
    </row>
    <row r="44" spans="1:17">
      <c r="A44" s="7">
        <v>42186</v>
      </c>
      <c r="B44">
        <v>10.6725520917045</v>
      </c>
      <c r="C44">
        <v>3.1658741229049698</v>
      </c>
      <c r="D44">
        <v>7.5070385349947903</v>
      </c>
      <c r="E44">
        <v>-0.56840537926109402</v>
      </c>
      <c r="F44">
        <v>-13.0668083874969</v>
      </c>
    </row>
    <row r="45" spans="1:17">
      <c r="A45" s="7">
        <v>42278</v>
      </c>
      <c r="B45">
        <v>10.552350095175401</v>
      </c>
      <c r="C45">
        <v>3.2900194936862399</v>
      </c>
      <c r="D45">
        <v>7.2627053067885496</v>
      </c>
      <c r="E45">
        <v>-0.843348748584276</v>
      </c>
      <c r="F45">
        <v>-12.566994773403399</v>
      </c>
    </row>
    <row r="46" spans="1:17">
      <c r="A46" s="7">
        <v>42370</v>
      </c>
      <c r="B46">
        <v>4.19295438891929</v>
      </c>
      <c r="C46">
        <v>3.3585109388660501</v>
      </c>
      <c r="D46">
        <v>0.83482595594702402</v>
      </c>
      <c r="E46">
        <v>-0.966044547315278</v>
      </c>
      <c r="F46">
        <v>-5.6863509788919799</v>
      </c>
    </row>
    <row r="47" spans="1:17">
      <c r="A47" s="7">
        <v>42461</v>
      </c>
      <c r="B47">
        <v>4.0889762612121103</v>
      </c>
      <c r="C47">
        <v>2.8429322105078798</v>
      </c>
      <c r="D47">
        <v>1.24636783655633</v>
      </c>
      <c r="E47">
        <v>-0.88222394896206402</v>
      </c>
      <c r="F47">
        <v>-5.0908365205832897</v>
      </c>
    </row>
    <row r="48" spans="1:17">
      <c r="A48" s="7">
        <v>42552</v>
      </c>
      <c r="B48">
        <v>-22.971587363370102</v>
      </c>
      <c r="C48">
        <v>3.1933721576740801</v>
      </c>
      <c r="D48">
        <v>-26.1645958230561</v>
      </c>
      <c r="E48">
        <v>-2.3023662110474601</v>
      </c>
      <c r="F48">
        <v>22.465126319868801</v>
      </c>
    </row>
    <row r="49" spans="1:6">
      <c r="A49" s="7">
        <v>42644</v>
      </c>
      <c r="B49">
        <v>-47.342216144392502</v>
      </c>
      <c r="C49">
        <v>3.12069013411109</v>
      </c>
      <c r="D49">
        <v>-50.462550858381199</v>
      </c>
      <c r="E49">
        <v>-3.1922032384445602</v>
      </c>
      <c r="F49">
        <v>47.637944251528502</v>
      </c>
    </row>
    <row r="50" spans="1:6">
      <c r="A50" s="7">
        <v>42736</v>
      </c>
      <c r="B50">
        <v>-39.671054460131202</v>
      </c>
      <c r="C50">
        <v>2.5259891243096102</v>
      </c>
      <c r="D50">
        <v>-42.1967558957164</v>
      </c>
      <c r="E50">
        <v>-2.9443307927163</v>
      </c>
      <c r="F50">
        <v>39.9080135880168</v>
      </c>
    </row>
    <row r="51" spans="1:6">
      <c r="A51" s="7">
        <v>42826</v>
      </c>
      <c r="B51">
        <v>-18.9246175292358</v>
      </c>
      <c r="C51">
        <v>2.6181640113709599</v>
      </c>
      <c r="D51">
        <v>-21.542483353944998</v>
      </c>
      <c r="E51">
        <v>-2.24892291200308</v>
      </c>
      <c r="F51">
        <v>18.939777248118101</v>
      </c>
    </row>
    <row r="52" spans="1:6">
      <c r="A52" s="7">
        <v>42917</v>
      </c>
      <c r="B52">
        <v>-39.348579983153599</v>
      </c>
      <c r="C52">
        <v>3.0361809778699098</v>
      </c>
      <c r="D52">
        <v>-42.3844151657769</v>
      </c>
      <c r="E52">
        <v>-2.5590797784054802</v>
      </c>
      <c r="F52">
        <v>39.583415009514901</v>
      </c>
    </row>
    <row r="53" spans="1:6">
      <c r="A53" s="7">
        <v>43009</v>
      </c>
      <c r="B53">
        <v>-43.642829538199202</v>
      </c>
      <c r="C53">
        <v>2.92970448276485</v>
      </c>
      <c r="D53">
        <v>-46.572200352486497</v>
      </c>
      <c r="E53">
        <v>-2.1012199823801399</v>
      </c>
      <c r="F53">
        <v>43.9339159542792</v>
      </c>
    </row>
    <row r="54" spans="1:6">
      <c r="A54" s="7">
        <v>43101</v>
      </c>
      <c r="B54">
        <v>-33.719483979920703</v>
      </c>
      <c r="C54">
        <v>2.78421890268545</v>
      </c>
      <c r="D54">
        <v>-36.503385783701603</v>
      </c>
      <c r="E54">
        <v>-1.40904095710471</v>
      </c>
      <c r="F54">
        <v>34.3245064211917</v>
      </c>
    </row>
    <row r="55" spans="1:6">
      <c r="A55" s="7">
        <v>43191</v>
      </c>
      <c r="B55">
        <v>-5.5273174041935702</v>
      </c>
      <c r="C55">
        <v>2.6739333710456301</v>
      </c>
      <c r="D55">
        <v>-8.2009462369207</v>
      </c>
      <c r="E55">
        <v>-5.1178908553083602E-2</v>
      </c>
      <c r="F55">
        <v>6.1342312606969003</v>
      </c>
    </row>
    <row r="56" spans="1:6">
      <c r="A56" s="7">
        <v>43282</v>
      </c>
      <c r="B56">
        <v>-32.484746053744601</v>
      </c>
      <c r="C56">
        <v>2.46752395607193</v>
      </c>
      <c r="D56">
        <v>-34.951988979778697</v>
      </c>
      <c r="E56">
        <v>-0.99594781984410496</v>
      </c>
      <c r="F56">
        <v>32.841171042438098</v>
      </c>
    </row>
    <row r="57" spans="1:6">
      <c r="A57" s="7">
        <v>43374</v>
      </c>
      <c r="B57">
        <v>-27.0060024667691</v>
      </c>
      <c r="C57">
        <v>2.79667122093749</v>
      </c>
      <c r="D57">
        <v>-29.802355170588601</v>
      </c>
      <c r="E57">
        <v>-1.02140431101407</v>
      </c>
      <c r="F57">
        <v>27.459628256858899</v>
      </c>
    </row>
    <row r="58" spans="1:6">
      <c r="A58" s="7">
        <v>43466</v>
      </c>
      <c r="B58">
        <v>-24.220130554286801</v>
      </c>
      <c r="C58">
        <v>2.1951623128981499</v>
      </c>
      <c r="D58">
        <v>-26.415042856826901</v>
      </c>
      <c r="E58">
        <v>-0.723819258268804</v>
      </c>
      <c r="F58">
        <v>24.648979806351601</v>
      </c>
    </row>
    <row r="59" spans="1:6">
      <c r="A59" s="7">
        <v>43556</v>
      </c>
      <c r="B59">
        <v>-3.4840760874158301</v>
      </c>
      <c r="C59">
        <v>2.41086792021812</v>
      </c>
      <c r="D59">
        <v>-5.8946694302377898</v>
      </c>
      <c r="E59">
        <v>-0.22464074440381401</v>
      </c>
      <c r="F59">
        <v>3.9499032182981599</v>
      </c>
    </row>
    <row r="60" spans="1:6">
      <c r="A60" s="7">
        <v>43647</v>
      </c>
      <c r="B60">
        <v>-28.677256368486798</v>
      </c>
      <c r="C60">
        <v>2.41176827847901</v>
      </c>
      <c r="D60">
        <v>-31.088749967026502</v>
      </c>
      <c r="E60">
        <v>-1.00991695806783</v>
      </c>
      <c r="F60">
        <v>28.6894647416247</v>
      </c>
    </row>
    <row r="61" spans="1:6">
      <c r="A61" s="7">
        <v>43739</v>
      </c>
      <c r="B61">
        <v>-64.538443093883402</v>
      </c>
      <c r="C61">
        <v>1.27020242275966</v>
      </c>
      <c r="D61">
        <v>-65.808500851366801</v>
      </c>
      <c r="E61">
        <v>-2.8553030182092698</v>
      </c>
      <c r="F61">
        <v>63.854360718724799</v>
      </c>
    </row>
    <row r="62" spans="1:6">
      <c r="A62" s="7">
        <v>43831</v>
      </c>
      <c r="B62">
        <v>0.79616964184683403</v>
      </c>
      <c r="C62">
        <v>2.37678115848006</v>
      </c>
      <c r="D62">
        <v>-1.5803408214299399</v>
      </c>
      <c r="E62">
        <v>-1.22575981524998</v>
      </c>
      <c r="F62">
        <v>-1.7039462382886501</v>
      </c>
    </row>
    <row r="63" spans="1:6">
      <c r="A63" s="7">
        <v>43922</v>
      </c>
      <c r="B63">
        <v>-5.0984978876192599</v>
      </c>
      <c r="C63">
        <v>1.78325840481189</v>
      </c>
      <c r="D63">
        <v>-6.8815531944325397</v>
      </c>
      <c r="E63">
        <v>-0.223617797808426</v>
      </c>
      <c r="F63">
        <v>2.9972339976778599</v>
      </c>
    </row>
    <row r="64" spans="1:6">
      <c r="A64" s="7">
        <v>44013</v>
      </c>
      <c r="B64">
        <v>32.831471410350602</v>
      </c>
      <c r="C64">
        <v>3.5457441795878299</v>
      </c>
      <c r="D64">
        <v>29.286131060933702</v>
      </c>
      <c r="E64">
        <v>1.7156229081694501</v>
      </c>
      <c r="F64">
        <v>-35.114396090197502</v>
      </c>
    </row>
    <row r="65" spans="1:6">
      <c r="A65" s="7">
        <v>44105</v>
      </c>
      <c r="B65">
        <v>71.900320776169707</v>
      </c>
      <c r="C65">
        <v>3.9564492296409899</v>
      </c>
      <c r="D65">
        <v>67.944322152519405</v>
      </c>
      <c r="E65">
        <v>5.4864708658004302</v>
      </c>
      <c r="F65">
        <v>-74.807646996444703</v>
      </c>
    </row>
    <row r="66" spans="1:6">
      <c r="A66" s="7">
        <v>44197</v>
      </c>
      <c r="B66">
        <v>67.514491227858201</v>
      </c>
      <c r="C66">
        <v>4.2864830287752804</v>
      </c>
      <c r="D66">
        <v>63.228496393122498</v>
      </c>
      <c r="E66">
        <v>6.5408785951594597</v>
      </c>
      <c r="F66">
        <v>-70.4625797961437</v>
      </c>
    </row>
    <row r="67" spans="1:6">
      <c r="A67" s="7">
        <v>44287</v>
      </c>
      <c r="B67">
        <v>62.530196815065402</v>
      </c>
      <c r="C67">
        <v>4.5058620408881698</v>
      </c>
      <c r="D67">
        <v>58.024847953624501</v>
      </c>
      <c r="E67">
        <v>6.4911620376465997</v>
      </c>
      <c r="F67">
        <v>-65.470525555977204</v>
      </c>
    </row>
    <row r="68" spans="1:6">
      <c r="A68" s="7">
        <v>44378</v>
      </c>
      <c r="B68">
        <v>56.728502609941401</v>
      </c>
      <c r="C68">
        <v>4.4223946064776598</v>
      </c>
      <c r="D68">
        <v>52.3066116766785</v>
      </c>
      <c r="E68">
        <v>5.7543120812914301</v>
      </c>
      <c r="F68">
        <v>-59.747244280160601</v>
      </c>
    </row>
    <row r="69" spans="1:6">
      <c r="A69" s="7">
        <v>44470</v>
      </c>
      <c r="B69">
        <v>40.905720633262497</v>
      </c>
      <c r="C69">
        <v>3.3544759750958901</v>
      </c>
      <c r="D69">
        <v>37.551626704512202</v>
      </c>
      <c r="E69">
        <v>3.87948769259707</v>
      </c>
      <c r="F69">
        <v>-42.712466316318398</v>
      </c>
    </row>
    <row r="70" spans="1:6">
      <c r="A70" s="7">
        <v>44562</v>
      </c>
      <c r="B70">
        <v>99.339975559141607</v>
      </c>
      <c r="C70">
        <v>2.47831615533828</v>
      </c>
      <c r="D70">
        <v>96.861941662981096</v>
      </c>
      <c r="E70">
        <v>3.9902226579990301</v>
      </c>
      <c r="F70">
        <v>-100.971329538693</v>
      </c>
    </row>
    <row r="71" spans="1:6">
      <c r="A71" s="7">
        <v>44652</v>
      </c>
      <c r="B71">
        <v>136.687321408114</v>
      </c>
      <c r="C71">
        <v>2.16824031761807</v>
      </c>
      <c r="D71">
        <v>134.51932803466701</v>
      </c>
      <c r="E71">
        <v>3.93959656592398</v>
      </c>
      <c r="F71">
        <v>-137.86577624394599</v>
      </c>
    </row>
    <row r="72" spans="1:6">
      <c r="A72" s="7">
        <v>44743</v>
      </c>
      <c r="B72">
        <v>117.375508547264</v>
      </c>
      <c r="C72">
        <v>2.2701569159408201</v>
      </c>
      <c r="D72">
        <v>115.10561018292999</v>
      </c>
      <c r="E72">
        <v>2.3784016456984101</v>
      </c>
      <c r="F72">
        <v>-118.021344802504</v>
      </c>
    </row>
    <row r="73" spans="1:6">
      <c r="A73" s="7">
        <v>44835</v>
      </c>
      <c r="B73">
        <v>51.086466646555003</v>
      </c>
      <c r="C73">
        <v>2.01264555607252</v>
      </c>
      <c r="D73">
        <v>49.074050313730901</v>
      </c>
      <c r="E73">
        <v>-0.85908308957318502</v>
      </c>
      <c r="F73">
        <v>-50.721573443508902</v>
      </c>
    </row>
    <row r="74" spans="1:6">
      <c r="A74" s="7">
        <v>44927</v>
      </c>
      <c r="B74">
        <v>86.575598409477394</v>
      </c>
      <c r="C74">
        <v>1.86168922639725</v>
      </c>
      <c r="D74">
        <v>84.714121213683697</v>
      </c>
      <c r="E74">
        <v>-0.30669498590393002</v>
      </c>
      <c r="F74">
        <v>-86.032760647685805</v>
      </c>
    </row>
    <row r="75" spans="1:6">
      <c r="A75" s="7">
        <v>45017</v>
      </c>
      <c r="B75">
        <v>54.655983986105198</v>
      </c>
      <c r="C75">
        <v>1.5859237726800799</v>
      </c>
      <c r="D75">
        <v>53.070240836683801</v>
      </c>
      <c r="E75">
        <v>-1.6126548683375601</v>
      </c>
      <c r="F75">
        <v>-53.185568007434597</v>
      </c>
    </row>
    <row r="76" spans="1:6">
      <c r="A76" s="7">
        <v>45108</v>
      </c>
      <c r="B76">
        <v>-40.362543694398603</v>
      </c>
      <c r="C76">
        <v>2.3404719634918201</v>
      </c>
      <c r="D76">
        <v>-42.702749097996303</v>
      </c>
      <c r="E76">
        <v>-5.5586044884466697</v>
      </c>
      <c r="F76">
        <v>43.1628224747516</v>
      </c>
    </row>
    <row r="77" spans="1:6">
      <c r="A77" s="7">
        <v>45200</v>
      </c>
      <c r="B77">
        <v>-76.2691658238505</v>
      </c>
      <c r="C77">
        <v>2.22113478732475</v>
      </c>
      <c r="D77">
        <v>-78.490047642772694</v>
      </c>
      <c r="E77">
        <v>-6.6699587592865903</v>
      </c>
      <c r="F77">
        <v>79.348692085973695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4EE0-AF53-4006-8E2D-551CC71D9866}">
  <sheetPr>
    <tabColor theme="5" tint="0.79998168889431442"/>
  </sheetPr>
  <dimension ref="A1:F100"/>
  <sheetViews>
    <sheetView workbookViewId="0">
      <selection activeCell="G30" sqref="G30"/>
    </sheetView>
  </sheetViews>
  <sheetFormatPr defaultRowHeight="15"/>
  <sheetData>
    <row r="1" spans="1:6">
      <c r="A1" s="13" t="s">
        <v>38</v>
      </c>
      <c r="B1" s="13" t="s">
        <v>54</v>
      </c>
      <c r="C1" s="13" t="s">
        <v>46</v>
      </c>
      <c r="D1" s="13" t="s">
        <v>53</v>
      </c>
      <c r="E1" s="13" t="s">
        <v>52</v>
      </c>
      <c r="F1" s="13" t="s">
        <v>51</v>
      </c>
    </row>
    <row r="2" spans="1:6">
      <c r="A2" s="11">
        <v>36161</v>
      </c>
      <c r="B2">
        <v>25.496315739054811</v>
      </c>
      <c r="C2">
        <v>5.4529069926955387</v>
      </c>
      <c r="D2">
        <v>2.7183390491343769</v>
      </c>
      <c r="E2">
        <v>44.222222222222221</v>
      </c>
      <c r="F2">
        <v>0</v>
      </c>
    </row>
    <row r="3" spans="1:6">
      <c r="A3" s="11">
        <v>36251</v>
      </c>
      <c r="B3">
        <v>25.495036884599951</v>
      </c>
      <c r="C3">
        <v>5.4266668563814244</v>
      </c>
      <c r="D3">
        <v>3.2186197661450979</v>
      </c>
      <c r="E3">
        <v>28.76923076923077</v>
      </c>
      <c r="F3">
        <v>0</v>
      </c>
    </row>
    <row r="4" spans="1:6">
      <c r="A4" s="11">
        <v>36342</v>
      </c>
      <c r="B4">
        <v>25.504926874992691</v>
      </c>
      <c r="C4">
        <v>4.3646356301575429</v>
      </c>
      <c r="D4">
        <v>3.9848071073968092</v>
      </c>
      <c r="E4">
        <v>19.913043478260871</v>
      </c>
      <c r="F4">
        <v>0</v>
      </c>
    </row>
    <row r="5" spans="1:6">
      <c r="A5" s="11">
        <v>36434</v>
      </c>
      <c r="B5">
        <v>25.521585683641948</v>
      </c>
      <c r="C5">
        <v>5.1736135463432484</v>
      </c>
      <c r="D5">
        <v>5.1044557563944384</v>
      </c>
      <c r="E5">
        <v>19</v>
      </c>
      <c r="F5">
        <v>0</v>
      </c>
    </row>
    <row r="6" spans="1:6">
      <c r="A6" s="11">
        <v>36526</v>
      </c>
      <c r="B6">
        <v>25.51441775477447</v>
      </c>
      <c r="C6">
        <v>4.7078436552769221</v>
      </c>
      <c r="D6">
        <v>4.918189922039784</v>
      </c>
      <c r="E6">
        <v>18.983516483516478</v>
      </c>
      <c r="F6">
        <v>0</v>
      </c>
    </row>
    <row r="7" spans="1:6">
      <c r="A7" s="11">
        <v>36617</v>
      </c>
      <c r="B7">
        <v>25.536219004024431</v>
      </c>
      <c r="C7">
        <v>3.2063260519459962</v>
      </c>
      <c r="D7">
        <v>4.3631047209309273</v>
      </c>
      <c r="E7">
        <v>18.390109890109891</v>
      </c>
      <c r="F7">
        <v>0</v>
      </c>
    </row>
    <row r="8" spans="1:6">
      <c r="A8" s="11">
        <v>36708</v>
      </c>
      <c r="B8">
        <v>25.552286712167749</v>
      </c>
      <c r="C8">
        <v>4.9025429843178481</v>
      </c>
      <c r="D8">
        <v>4.4975815594710031</v>
      </c>
      <c r="E8">
        <v>16.65217391304348</v>
      </c>
      <c r="F8">
        <v>0</v>
      </c>
    </row>
    <row r="9" spans="1:6">
      <c r="A9" s="11">
        <v>36800</v>
      </c>
      <c r="B9">
        <v>25.561563700966438</v>
      </c>
      <c r="C9">
        <v>3.1935891669488958</v>
      </c>
      <c r="D9">
        <v>4.0025754646224154</v>
      </c>
      <c r="E9">
        <v>16.41032608695652</v>
      </c>
      <c r="F9">
        <v>0</v>
      </c>
    </row>
    <row r="10" spans="1:6">
      <c r="A10" s="11">
        <v>36892</v>
      </c>
      <c r="B10">
        <v>25.564196529466969</v>
      </c>
      <c r="C10">
        <v>5.3537096048440702</v>
      </c>
      <c r="D10">
        <v>4.1640419520142027</v>
      </c>
      <c r="E10">
        <v>15.4</v>
      </c>
      <c r="F10">
        <v>0</v>
      </c>
    </row>
    <row r="11" spans="1:6">
      <c r="A11" s="11">
        <v>36982</v>
      </c>
      <c r="B11">
        <v>25.56659473321788</v>
      </c>
      <c r="C11">
        <v>6.7900401399779931</v>
      </c>
      <c r="D11">
        <v>5.0599704740222018</v>
      </c>
      <c r="E11">
        <v>16.52472527472527</v>
      </c>
      <c r="F11">
        <v>0</v>
      </c>
    </row>
    <row r="12" spans="1:6">
      <c r="A12" s="11">
        <v>37073</v>
      </c>
      <c r="B12">
        <v>25.53476453210433</v>
      </c>
      <c r="C12">
        <v>7.4706322338529576</v>
      </c>
      <c r="D12">
        <v>5.7019927864059792</v>
      </c>
      <c r="E12">
        <v>18.861413043478262</v>
      </c>
      <c r="F12">
        <v>0</v>
      </c>
    </row>
    <row r="13" spans="1:6">
      <c r="A13" s="11">
        <v>37165</v>
      </c>
      <c r="B13">
        <v>25.54257890790543</v>
      </c>
      <c r="C13">
        <v>7.6163190182584328</v>
      </c>
      <c r="D13">
        <v>6.8076752492333634</v>
      </c>
      <c r="E13">
        <v>19</v>
      </c>
      <c r="F13">
        <v>0</v>
      </c>
    </row>
    <row r="14" spans="1:6">
      <c r="A14" s="11">
        <v>37257</v>
      </c>
      <c r="B14">
        <v>25.565950558411799</v>
      </c>
      <c r="C14">
        <v>7.9504581020135356</v>
      </c>
      <c r="D14">
        <v>7.4568623735257296</v>
      </c>
      <c r="E14">
        <v>18.861111111111111</v>
      </c>
      <c r="F14">
        <v>0</v>
      </c>
    </row>
    <row r="15" spans="1:6">
      <c r="A15" s="11">
        <v>37347</v>
      </c>
      <c r="B15">
        <v>25.573676187952788</v>
      </c>
      <c r="C15">
        <v>5.3945065355463839</v>
      </c>
      <c r="D15">
        <v>7.1079789724178273</v>
      </c>
      <c r="E15">
        <v>18.5</v>
      </c>
      <c r="F15">
        <v>0</v>
      </c>
    </row>
    <row r="16" spans="1:6">
      <c r="A16" s="11">
        <v>37438</v>
      </c>
      <c r="B16">
        <v>25.56229337596006</v>
      </c>
      <c r="C16">
        <v>5.9597604911488133</v>
      </c>
      <c r="D16">
        <v>6.7302610367417914</v>
      </c>
      <c r="E16">
        <v>18.092391304347821</v>
      </c>
      <c r="F16">
        <v>0</v>
      </c>
    </row>
    <row r="17" spans="1:6">
      <c r="A17" s="11">
        <v>37530</v>
      </c>
      <c r="B17">
        <v>25.558308517643951</v>
      </c>
      <c r="C17">
        <v>13.01219478983942</v>
      </c>
      <c r="D17">
        <v>8.0792299796370379</v>
      </c>
      <c r="E17">
        <v>21.413043478260871</v>
      </c>
      <c r="F17">
        <v>0</v>
      </c>
    </row>
    <row r="18" spans="1:6">
      <c r="A18" s="11">
        <v>37622</v>
      </c>
      <c r="B18">
        <v>25.56537392283532</v>
      </c>
      <c r="C18">
        <v>15.874029494365891</v>
      </c>
      <c r="D18">
        <v>10.060122827725129</v>
      </c>
      <c r="E18">
        <v>25.822222222222219</v>
      </c>
      <c r="F18">
        <v>0</v>
      </c>
    </row>
    <row r="19" spans="1:6">
      <c r="A19" s="11">
        <v>37712</v>
      </c>
      <c r="B19">
        <v>25.55316977640679</v>
      </c>
      <c r="C19">
        <v>13.439296082239551</v>
      </c>
      <c r="D19">
        <v>12.071320214398421</v>
      </c>
      <c r="E19">
        <v>26.439560439560442</v>
      </c>
      <c r="F19">
        <v>0</v>
      </c>
    </row>
    <row r="20" spans="1:6">
      <c r="A20" s="11">
        <v>37803</v>
      </c>
      <c r="B20">
        <v>25.555510563376941</v>
      </c>
      <c r="C20">
        <v>7.8470273537241564</v>
      </c>
      <c r="D20">
        <v>12.54313693004225</v>
      </c>
      <c r="E20">
        <v>23.478260869565219</v>
      </c>
      <c r="F20">
        <v>0</v>
      </c>
    </row>
    <row r="21" spans="1:6">
      <c r="A21" s="11">
        <v>37895</v>
      </c>
      <c r="B21">
        <v>25.563932090809431</v>
      </c>
      <c r="C21">
        <v>6.1227368336678412</v>
      </c>
      <c r="D21">
        <v>10.82077244099936</v>
      </c>
      <c r="E21">
        <v>18.40217391304348</v>
      </c>
      <c r="F21">
        <v>0</v>
      </c>
    </row>
    <row r="22" spans="1:6">
      <c r="A22" s="11">
        <v>37987</v>
      </c>
      <c r="B22">
        <v>25.562959923721849</v>
      </c>
      <c r="C22">
        <v>6.422034603584148</v>
      </c>
      <c r="D22">
        <v>8.4577737183039225</v>
      </c>
      <c r="E22">
        <v>16.46153846153846</v>
      </c>
      <c r="F22">
        <v>0</v>
      </c>
    </row>
    <row r="23" spans="1:6">
      <c r="A23" s="11">
        <v>38078</v>
      </c>
      <c r="B23">
        <v>25.583954008099969</v>
      </c>
      <c r="C23">
        <v>6.5209657625404871</v>
      </c>
      <c r="D23">
        <v>6.7281911383791577</v>
      </c>
      <c r="E23">
        <v>16.03846153846154</v>
      </c>
      <c r="F23">
        <v>0</v>
      </c>
    </row>
    <row r="24" spans="1:6">
      <c r="A24" s="11">
        <v>38169</v>
      </c>
      <c r="B24">
        <v>25.603545866322509</v>
      </c>
      <c r="C24">
        <v>5.2817117302830008</v>
      </c>
      <c r="D24">
        <v>6.086862232518869</v>
      </c>
      <c r="E24">
        <v>16.040760869565219</v>
      </c>
      <c r="F24">
        <v>0</v>
      </c>
    </row>
    <row r="25" spans="1:6">
      <c r="A25" s="11">
        <v>38261</v>
      </c>
      <c r="B25">
        <v>25.627870860037682</v>
      </c>
      <c r="C25">
        <v>5.1445911484414566</v>
      </c>
      <c r="D25">
        <v>5.8423258112122731</v>
      </c>
      <c r="E25">
        <v>16.967391304347821</v>
      </c>
      <c r="F25">
        <v>0</v>
      </c>
    </row>
    <row r="26" spans="1:6">
      <c r="A26" s="11">
        <v>38353</v>
      </c>
      <c r="B26">
        <v>25.625781652202921</v>
      </c>
      <c r="C26">
        <v>6.0402674543279966</v>
      </c>
      <c r="D26">
        <v>5.746884023898235</v>
      </c>
      <c r="E26">
        <v>18.466666666666669</v>
      </c>
      <c r="F26">
        <v>0</v>
      </c>
    </row>
    <row r="27" spans="1:6">
      <c r="A27" s="11">
        <v>38443</v>
      </c>
      <c r="B27">
        <v>25.630747986237139</v>
      </c>
      <c r="C27">
        <v>7.1165072090628279</v>
      </c>
      <c r="D27">
        <v>5.89576938552882</v>
      </c>
      <c r="E27">
        <v>19.56318681318681</v>
      </c>
      <c r="F27">
        <v>0</v>
      </c>
    </row>
    <row r="28" spans="1:6">
      <c r="A28" s="11">
        <v>38534</v>
      </c>
      <c r="B28">
        <v>25.646275846377549</v>
      </c>
      <c r="C28">
        <v>3.929608762012804</v>
      </c>
      <c r="D28">
        <v>5.5577436434612713</v>
      </c>
      <c r="E28">
        <v>19.70652173913043</v>
      </c>
      <c r="F28">
        <v>0</v>
      </c>
    </row>
    <row r="29" spans="1:6">
      <c r="A29" s="11">
        <v>38626</v>
      </c>
      <c r="B29">
        <v>25.66067053808435</v>
      </c>
      <c r="C29">
        <v>3.7156870747034891</v>
      </c>
      <c r="D29">
        <v>5.2005176250267793</v>
      </c>
      <c r="E29">
        <v>18.804347826086961</v>
      </c>
      <c r="F29">
        <v>0</v>
      </c>
    </row>
    <row r="30" spans="1:6">
      <c r="A30" s="11">
        <v>38718</v>
      </c>
      <c r="B30">
        <v>25.67422057999282</v>
      </c>
      <c r="C30">
        <v>4.322531490348247</v>
      </c>
      <c r="D30">
        <v>4.7710836340318421</v>
      </c>
      <c r="E30">
        <v>17.208333333333329</v>
      </c>
      <c r="F30">
        <v>0</v>
      </c>
    </row>
    <row r="31" spans="1:6">
      <c r="A31" s="11">
        <v>38808</v>
      </c>
      <c r="B31">
        <v>25.686837084275069</v>
      </c>
      <c r="C31">
        <v>3.0130329572143788</v>
      </c>
      <c r="D31">
        <v>3.7452150710697301</v>
      </c>
      <c r="E31">
        <v>15.73351648351648</v>
      </c>
      <c r="F31">
        <v>0</v>
      </c>
    </row>
    <row r="32" spans="1:6">
      <c r="A32" s="11">
        <v>38899</v>
      </c>
      <c r="B32">
        <v>25.697129144296849</v>
      </c>
      <c r="C32">
        <v>1.5170734290139929</v>
      </c>
      <c r="D32">
        <v>3.1420812378200269</v>
      </c>
      <c r="E32">
        <v>14.684782608695651</v>
      </c>
      <c r="F32">
        <v>0</v>
      </c>
    </row>
    <row r="33" spans="1:6">
      <c r="A33" s="11">
        <v>38991</v>
      </c>
      <c r="B33">
        <v>25.711460519443481</v>
      </c>
      <c r="C33">
        <v>2.6316501808674402</v>
      </c>
      <c r="D33">
        <v>2.871072014361014</v>
      </c>
      <c r="E33">
        <v>13.67391304347826</v>
      </c>
      <c r="F33">
        <v>0</v>
      </c>
    </row>
    <row r="34" spans="1:6">
      <c r="A34" s="11">
        <v>39083</v>
      </c>
      <c r="B34">
        <v>25.736114432549499</v>
      </c>
      <c r="C34">
        <v>3.0409620900254231</v>
      </c>
      <c r="D34">
        <v>2.5506796642803091</v>
      </c>
      <c r="E34">
        <v>13</v>
      </c>
      <c r="F34">
        <v>0</v>
      </c>
    </row>
    <row r="35" spans="1:6">
      <c r="A35" s="11">
        <v>39173</v>
      </c>
      <c r="B35">
        <v>25.746372958796769</v>
      </c>
      <c r="C35">
        <v>3.522883769249407</v>
      </c>
      <c r="D35">
        <v>2.6781423672890661</v>
      </c>
      <c r="E35">
        <v>12.42307692307692</v>
      </c>
      <c r="F35">
        <v>0</v>
      </c>
    </row>
    <row r="36" spans="1:6">
      <c r="A36" s="11">
        <v>39264</v>
      </c>
      <c r="B36">
        <v>25.7526708754257</v>
      </c>
      <c r="C36">
        <v>3.7148735524149319</v>
      </c>
      <c r="D36">
        <v>3.2275923981393011</v>
      </c>
      <c r="E36">
        <v>11.52989130434783</v>
      </c>
      <c r="F36">
        <v>0</v>
      </c>
    </row>
    <row r="37" spans="1:6">
      <c r="A37" s="11">
        <v>39356</v>
      </c>
      <c r="B37">
        <v>25.781318196117461</v>
      </c>
      <c r="C37">
        <v>3.1370340054950541</v>
      </c>
      <c r="D37">
        <v>3.3539383542962038</v>
      </c>
      <c r="E37">
        <v>11.25</v>
      </c>
      <c r="F37">
        <v>0</v>
      </c>
    </row>
    <row r="38" spans="1:6">
      <c r="A38" s="11">
        <v>39448</v>
      </c>
      <c r="B38">
        <v>25.794397048106411</v>
      </c>
      <c r="C38">
        <v>3.3017998327039781</v>
      </c>
      <c r="D38">
        <v>3.4191477899658431</v>
      </c>
      <c r="E38">
        <v>11.25</v>
      </c>
      <c r="F38">
        <v>0</v>
      </c>
    </row>
    <row r="39" spans="1:6">
      <c r="A39" s="11">
        <v>39539</v>
      </c>
      <c r="B39">
        <v>25.81402801609627</v>
      </c>
      <c r="C39">
        <v>4.3941389337641024</v>
      </c>
      <c r="D39">
        <v>3.6369615810945159</v>
      </c>
      <c r="E39">
        <v>11.804945054945049</v>
      </c>
      <c r="F39">
        <v>0</v>
      </c>
    </row>
    <row r="40" spans="1:6">
      <c r="A40" s="11">
        <v>39630</v>
      </c>
      <c r="B40">
        <v>25.832539607735072</v>
      </c>
      <c r="C40">
        <v>4.1273958128083432</v>
      </c>
      <c r="D40">
        <v>3.74009214619287</v>
      </c>
      <c r="E40">
        <v>12.975543478260869</v>
      </c>
      <c r="F40">
        <v>0</v>
      </c>
    </row>
    <row r="41" spans="1:6">
      <c r="A41" s="11">
        <v>39722</v>
      </c>
      <c r="B41">
        <v>25.816313406916851</v>
      </c>
      <c r="C41">
        <v>3.9505968206224429</v>
      </c>
      <c r="D41">
        <v>3.9434828499747172</v>
      </c>
      <c r="E41">
        <v>13.75</v>
      </c>
      <c r="F41">
        <v>0</v>
      </c>
    </row>
    <row r="42" spans="1:6">
      <c r="A42" s="11">
        <v>39814</v>
      </c>
      <c r="B42">
        <v>25.82773083305613</v>
      </c>
      <c r="C42">
        <v>4.3922437613765908</v>
      </c>
      <c r="D42">
        <v>4.21609383214287</v>
      </c>
      <c r="E42">
        <v>12.65</v>
      </c>
      <c r="F42">
        <v>0</v>
      </c>
    </row>
    <row r="43" spans="1:6">
      <c r="A43" s="11">
        <v>39904</v>
      </c>
      <c r="B43">
        <v>25.853244764628691</v>
      </c>
      <c r="C43">
        <v>4.2949952885499521</v>
      </c>
      <c r="D43">
        <v>4.191307920839332</v>
      </c>
      <c r="E43">
        <v>10.359890109890109</v>
      </c>
      <c r="F43">
        <v>0</v>
      </c>
    </row>
    <row r="44" spans="1:6">
      <c r="A44" s="11">
        <v>39995</v>
      </c>
      <c r="B44">
        <v>25.876126536310071</v>
      </c>
      <c r="C44">
        <v>3.1917754298350638</v>
      </c>
      <c r="D44">
        <v>3.957402825096012</v>
      </c>
      <c r="E44">
        <v>8.8695652173913047</v>
      </c>
      <c r="F44">
        <v>0</v>
      </c>
    </row>
    <row r="45" spans="1:6">
      <c r="A45" s="11">
        <v>40087</v>
      </c>
      <c r="B45">
        <v>25.883288729960011</v>
      </c>
      <c r="C45">
        <v>3.2339440500885219</v>
      </c>
      <c r="D45">
        <v>3.7782396324625318</v>
      </c>
      <c r="E45">
        <v>8.75</v>
      </c>
      <c r="F45">
        <v>0</v>
      </c>
    </row>
    <row r="46" spans="1:6">
      <c r="A46" s="11">
        <v>40179</v>
      </c>
      <c r="B46">
        <v>25.899583318726389</v>
      </c>
      <c r="C46">
        <v>4.8521959298044806</v>
      </c>
      <c r="D46">
        <v>3.8932276745695051</v>
      </c>
      <c r="E46">
        <v>8.75</v>
      </c>
      <c r="F46">
        <v>0</v>
      </c>
    </row>
    <row r="47" spans="1:6">
      <c r="A47" s="11">
        <v>40269</v>
      </c>
      <c r="B47">
        <v>25.906276081170962</v>
      </c>
      <c r="C47">
        <v>5.4236545971439343</v>
      </c>
      <c r="D47">
        <v>4.175392501718</v>
      </c>
      <c r="E47">
        <v>9.4423076923076916</v>
      </c>
      <c r="F47">
        <v>0</v>
      </c>
    </row>
    <row r="48" spans="1:6">
      <c r="A48" s="11">
        <v>40360</v>
      </c>
      <c r="B48">
        <v>25.927870891668871</v>
      </c>
      <c r="C48">
        <v>4.1979133617183084</v>
      </c>
      <c r="D48">
        <v>4.4269269846888113</v>
      </c>
      <c r="E48">
        <v>10.635869565217391</v>
      </c>
      <c r="F48">
        <v>0</v>
      </c>
    </row>
    <row r="49" spans="1:6">
      <c r="A49" s="11">
        <v>40452</v>
      </c>
      <c r="B49">
        <v>25.948791289417809</v>
      </c>
      <c r="C49">
        <v>5.3824338565447549</v>
      </c>
      <c r="D49">
        <v>4.9640494363028704</v>
      </c>
      <c r="E49">
        <v>10.75</v>
      </c>
      <c r="F49">
        <v>0</v>
      </c>
    </row>
    <row r="50" spans="1:6">
      <c r="A50" s="11">
        <v>40544</v>
      </c>
      <c r="B50">
        <v>25.9609153156483</v>
      </c>
      <c r="C50">
        <v>5.2261377087456484</v>
      </c>
      <c r="D50">
        <v>5.057534881038162</v>
      </c>
      <c r="E50">
        <v>11.305555555555561</v>
      </c>
      <c r="F50">
        <v>0</v>
      </c>
    </row>
    <row r="51" spans="1:6">
      <c r="A51" s="11">
        <v>40634</v>
      </c>
      <c r="B51">
        <v>25.971456651881969</v>
      </c>
      <c r="C51">
        <v>5.732346652657716</v>
      </c>
      <c r="D51">
        <v>5.1347078949166072</v>
      </c>
      <c r="E51">
        <v>11.994505494505489</v>
      </c>
      <c r="F51">
        <v>0</v>
      </c>
    </row>
    <row r="52" spans="1:6">
      <c r="A52" s="11">
        <v>40725</v>
      </c>
      <c r="B52">
        <v>25.96750837844526</v>
      </c>
      <c r="C52">
        <v>4.9072705596684196</v>
      </c>
      <c r="D52">
        <v>5.3120471944041343</v>
      </c>
      <c r="E52">
        <v>12.28260869565217</v>
      </c>
      <c r="F52">
        <v>0</v>
      </c>
    </row>
    <row r="53" spans="1:6">
      <c r="A53" s="11">
        <v>40817</v>
      </c>
      <c r="B53">
        <v>25.972775102139149</v>
      </c>
      <c r="C53">
        <v>5.9571397619463173</v>
      </c>
      <c r="D53">
        <v>5.4557236707545256</v>
      </c>
      <c r="E53">
        <v>11.434782608695651</v>
      </c>
      <c r="F53">
        <v>0</v>
      </c>
    </row>
    <row r="54" spans="1:6">
      <c r="A54" s="11">
        <v>40909</v>
      </c>
      <c r="B54">
        <v>25.978387726262081</v>
      </c>
      <c r="C54">
        <v>5.4212251896315289</v>
      </c>
      <c r="D54">
        <v>5.504495540975995</v>
      </c>
      <c r="E54">
        <v>10.4010989010989</v>
      </c>
      <c r="F54">
        <v>0</v>
      </c>
    </row>
    <row r="55" spans="1:6">
      <c r="A55" s="11">
        <v>41000</v>
      </c>
      <c r="B55">
        <v>25.994397314810339</v>
      </c>
      <c r="C55">
        <v>5.0596541447091692</v>
      </c>
      <c r="D55">
        <v>5.3363224139888583</v>
      </c>
      <c r="E55">
        <v>8.9780219780219781</v>
      </c>
      <c r="F55">
        <v>0</v>
      </c>
    </row>
    <row r="56" spans="1:6">
      <c r="A56" s="11">
        <v>41091</v>
      </c>
      <c r="B56">
        <v>26.00728654151342</v>
      </c>
      <c r="C56">
        <v>3.9082142625487482</v>
      </c>
      <c r="D56">
        <v>5.0865583397089411</v>
      </c>
      <c r="E56">
        <v>7.8858695652173916</v>
      </c>
      <c r="F56">
        <v>0</v>
      </c>
    </row>
    <row r="57" spans="1:6">
      <c r="A57" s="11">
        <v>41183</v>
      </c>
      <c r="B57">
        <v>26.01830236442289</v>
      </c>
      <c r="C57">
        <v>5.2848061393658607</v>
      </c>
      <c r="D57">
        <v>4.918474934063827</v>
      </c>
      <c r="E57">
        <v>7.2771739130434776</v>
      </c>
      <c r="F57">
        <v>0</v>
      </c>
    </row>
    <row r="58" spans="1:6">
      <c r="A58" s="11">
        <v>41275</v>
      </c>
      <c r="B58">
        <v>26.025997952633041</v>
      </c>
      <c r="C58">
        <v>6.3089617871205714</v>
      </c>
      <c r="D58">
        <v>5.1404090834360874</v>
      </c>
      <c r="E58">
        <v>7.25</v>
      </c>
      <c r="F58">
        <v>0</v>
      </c>
    </row>
    <row r="59" spans="1:6">
      <c r="A59" s="11">
        <v>41365</v>
      </c>
      <c r="B59">
        <v>26.0361580234107</v>
      </c>
      <c r="C59">
        <v>5.5623856634749336</v>
      </c>
      <c r="D59">
        <v>5.2660919631275283</v>
      </c>
      <c r="E59">
        <v>7.6291208791208804</v>
      </c>
      <c r="F59">
        <v>0</v>
      </c>
    </row>
    <row r="60" spans="1:6">
      <c r="A60" s="11">
        <v>41456</v>
      </c>
      <c r="B60">
        <v>26.04235735037927</v>
      </c>
      <c r="C60">
        <v>3.907462008252049</v>
      </c>
      <c r="D60">
        <v>5.2659038995533534</v>
      </c>
      <c r="E60">
        <v>8.625</v>
      </c>
      <c r="F60">
        <v>0</v>
      </c>
    </row>
    <row r="61" spans="1:6">
      <c r="A61" s="11">
        <v>41548</v>
      </c>
      <c r="B61">
        <v>26.041741494495579</v>
      </c>
      <c r="C61">
        <v>4.8653176584422484</v>
      </c>
      <c r="D61">
        <v>5.1610317793224496</v>
      </c>
      <c r="E61">
        <v>9.6358695652173907</v>
      </c>
      <c r="F61">
        <v>0</v>
      </c>
    </row>
    <row r="62" spans="1:6">
      <c r="A62" s="11">
        <v>41640</v>
      </c>
      <c r="B62">
        <v>26.060741085346962</v>
      </c>
      <c r="C62">
        <v>6.3240627814375996</v>
      </c>
      <c r="D62">
        <v>5.1648070279017082</v>
      </c>
      <c r="E62">
        <v>10.508333333333329</v>
      </c>
      <c r="F62">
        <v>0</v>
      </c>
    </row>
    <row r="63" spans="1:6">
      <c r="A63" s="11">
        <v>41730</v>
      </c>
      <c r="B63">
        <v>26.052550649539061</v>
      </c>
      <c r="C63">
        <v>6.8594892672737329</v>
      </c>
      <c r="D63">
        <v>5.489082928851408</v>
      </c>
      <c r="E63">
        <v>10.994505494505489</v>
      </c>
      <c r="F63">
        <v>0</v>
      </c>
    </row>
    <row r="64" spans="1:6">
      <c r="A64" s="11">
        <v>41821</v>
      </c>
      <c r="B64">
        <v>26.053628752478879</v>
      </c>
      <c r="C64">
        <v>5.4221226033712933</v>
      </c>
      <c r="D64">
        <v>5.8677480776312194</v>
      </c>
      <c r="E64">
        <v>11</v>
      </c>
      <c r="F64">
        <v>0</v>
      </c>
    </row>
    <row r="65" spans="1:6">
      <c r="A65" s="11">
        <v>41913</v>
      </c>
      <c r="B65">
        <v>26.068507418338921</v>
      </c>
      <c r="C65">
        <v>5.6207424899360703</v>
      </c>
      <c r="D65">
        <v>6.0566042855046742</v>
      </c>
      <c r="E65">
        <v>11.323369565217391</v>
      </c>
      <c r="F65">
        <v>0</v>
      </c>
    </row>
    <row r="66" spans="1:6">
      <c r="A66" s="11">
        <v>42005</v>
      </c>
      <c r="B66">
        <v>26.05402272238754</v>
      </c>
      <c r="C66">
        <v>8.2593789333130765</v>
      </c>
      <c r="D66">
        <v>6.5404333234735432</v>
      </c>
      <c r="E66">
        <v>12.28333333333333</v>
      </c>
      <c r="F66">
        <v>0</v>
      </c>
    </row>
    <row r="67" spans="1:6">
      <c r="A67" s="11">
        <v>42095</v>
      </c>
      <c r="B67">
        <v>26.031988005812291</v>
      </c>
      <c r="C67">
        <v>8.5584987167349968</v>
      </c>
      <c r="D67">
        <v>6.9651856858388594</v>
      </c>
      <c r="E67">
        <v>13.239010989010991</v>
      </c>
      <c r="F67">
        <v>0</v>
      </c>
    </row>
    <row r="68" spans="1:6">
      <c r="A68" s="11">
        <v>42186</v>
      </c>
      <c r="B68">
        <v>26.013411309334838</v>
      </c>
      <c r="C68">
        <v>7.7252522073483654</v>
      </c>
      <c r="D68">
        <v>7.5409680868331268</v>
      </c>
      <c r="E68">
        <v>14.09239130434783</v>
      </c>
      <c r="F68">
        <v>0</v>
      </c>
    </row>
    <row r="69" spans="1:6">
      <c r="A69" s="11">
        <v>42278</v>
      </c>
      <c r="B69">
        <v>26.006355010899899</v>
      </c>
      <c r="C69">
        <v>8.0447201403507371</v>
      </c>
      <c r="D69">
        <v>8.1469624994367944</v>
      </c>
      <c r="E69">
        <v>14.25</v>
      </c>
      <c r="F69">
        <v>0</v>
      </c>
    </row>
    <row r="70" spans="1:6">
      <c r="A70" s="11">
        <v>42370</v>
      </c>
      <c r="B70">
        <v>25.985095388770048</v>
      </c>
      <c r="C70">
        <v>9.8724575680157365</v>
      </c>
      <c r="D70">
        <v>8.5502321581124594</v>
      </c>
      <c r="E70">
        <v>14.25</v>
      </c>
      <c r="F70">
        <v>0</v>
      </c>
    </row>
    <row r="71" spans="1:6">
      <c r="A71" s="11">
        <v>42461</v>
      </c>
      <c r="B71">
        <v>25.987466142046479</v>
      </c>
      <c r="C71">
        <v>7.6248492238494503</v>
      </c>
      <c r="D71">
        <v>8.3168197848910737</v>
      </c>
      <c r="E71">
        <v>14.25</v>
      </c>
      <c r="F71">
        <v>0</v>
      </c>
    </row>
    <row r="72" spans="1:6">
      <c r="A72" s="11">
        <v>42552</v>
      </c>
      <c r="B72">
        <v>25.983945185777731</v>
      </c>
      <c r="C72">
        <v>6.0953020020775739</v>
      </c>
      <c r="D72">
        <v>7.909332233573374</v>
      </c>
      <c r="E72">
        <v>14.25</v>
      </c>
      <c r="F72">
        <v>0</v>
      </c>
    </row>
    <row r="73" spans="1:6">
      <c r="A73" s="11">
        <v>42644</v>
      </c>
      <c r="B73">
        <v>25.98120934188097</v>
      </c>
      <c r="C73">
        <v>4.9486540357025044</v>
      </c>
      <c r="D73">
        <v>7.1353157074113156</v>
      </c>
      <c r="E73">
        <v>13.96739130434783</v>
      </c>
      <c r="F73">
        <v>0</v>
      </c>
    </row>
    <row r="74" spans="1:6">
      <c r="A74" s="11">
        <v>42736</v>
      </c>
      <c r="B74">
        <v>25.990681736371691</v>
      </c>
      <c r="C74">
        <v>4.2806146676651613</v>
      </c>
      <c r="D74">
        <v>5.7373549823236729</v>
      </c>
      <c r="E74">
        <v>12.78333333333333</v>
      </c>
      <c r="F74">
        <v>0</v>
      </c>
    </row>
    <row r="75" spans="1:6">
      <c r="A75" s="11">
        <v>42826</v>
      </c>
      <c r="B75">
        <v>26.004233660295679</v>
      </c>
      <c r="C75">
        <v>3.673180722773806</v>
      </c>
      <c r="D75">
        <v>4.7494378570547617</v>
      </c>
      <c r="E75">
        <v>11.052197802197799</v>
      </c>
      <c r="F75">
        <v>0</v>
      </c>
    </row>
    <row r="76" spans="1:6">
      <c r="A76" s="11">
        <v>42917</v>
      </c>
      <c r="B76">
        <v>26.01412182652416</v>
      </c>
      <c r="C76">
        <v>2.2624935161988491</v>
      </c>
      <c r="D76">
        <v>3.7912357355850799</v>
      </c>
      <c r="E76">
        <v>9.2826086956521738</v>
      </c>
      <c r="F76">
        <v>0</v>
      </c>
    </row>
    <row r="77" spans="1:6">
      <c r="A77" s="11">
        <v>43009</v>
      </c>
      <c r="B77">
        <v>26.016469689739239</v>
      </c>
      <c r="C77">
        <v>2.9871039517270548</v>
      </c>
      <c r="D77">
        <v>3.3008482145912179</v>
      </c>
      <c r="E77">
        <v>7.5679347826086953</v>
      </c>
      <c r="F77">
        <v>0</v>
      </c>
    </row>
    <row r="78" spans="1:6">
      <c r="A78" s="11">
        <v>43101</v>
      </c>
      <c r="B78">
        <v>26.02730538653309</v>
      </c>
      <c r="C78">
        <v>3.9627676501811759</v>
      </c>
      <c r="D78">
        <v>3.2213864602202209</v>
      </c>
      <c r="E78">
        <v>6.8277777777777784</v>
      </c>
      <c r="F78">
        <v>0</v>
      </c>
    </row>
    <row r="79" spans="1:6">
      <c r="A79" s="11">
        <v>43191</v>
      </c>
      <c r="B79">
        <v>26.02672590361453</v>
      </c>
      <c r="C79">
        <v>3.6326743592271842</v>
      </c>
      <c r="D79">
        <v>3.2112598693335661</v>
      </c>
      <c r="E79">
        <v>6.5</v>
      </c>
      <c r="F79">
        <v>0</v>
      </c>
    </row>
    <row r="80" spans="1:6">
      <c r="A80" s="11">
        <v>43282</v>
      </c>
      <c r="B80">
        <v>26.032923859476771</v>
      </c>
      <c r="C80">
        <v>3.8250035457779501</v>
      </c>
      <c r="D80">
        <v>3.601887376728341</v>
      </c>
      <c r="E80">
        <v>6.5</v>
      </c>
      <c r="F80">
        <v>0</v>
      </c>
    </row>
    <row r="81" spans="1:6">
      <c r="A81" s="11">
        <v>43374</v>
      </c>
      <c r="B81">
        <v>26.032752669613</v>
      </c>
      <c r="C81">
        <v>3.9767509701997832</v>
      </c>
      <c r="D81">
        <v>3.8492991313465228</v>
      </c>
      <c r="E81">
        <v>6.5</v>
      </c>
      <c r="F81">
        <v>0</v>
      </c>
    </row>
    <row r="82" spans="1:6">
      <c r="A82" s="11">
        <v>43466</v>
      </c>
      <c r="B82">
        <v>26.050501283527058</v>
      </c>
      <c r="C82">
        <v>3.8809478807226849</v>
      </c>
      <c r="D82">
        <v>3.8288441889819</v>
      </c>
      <c r="E82">
        <v>6.5</v>
      </c>
      <c r="F82">
        <v>0</v>
      </c>
    </row>
    <row r="83" spans="1:6">
      <c r="A83" s="11">
        <v>43556</v>
      </c>
      <c r="B83">
        <v>26.051561712307059</v>
      </c>
      <c r="C83">
        <v>4.0177609844440854</v>
      </c>
      <c r="D83">
        <v>3.925115845286125</v>
      </c>
      <c r="E83">
        <v>6.5</v>
      </c>
      <c r="F83">
        <v>0</v>
      </c>
    </row>
    <row r="84" spans="1:6">
      <c r="A84" s="11">
        <v>43647</v>
      </c>
      <c r="B84">
        <v>26.058132852047951</v>
      </c>
      <c r="C84">
        <v>2.5217823554795289</v>
      </c>
      <c r="D84">
        <v>3.599310547711521</v>
      </c>
      <c r="E84">
        <v>6.1032608695652177</v>
      </c>
      <c r="F84">
        <v>0</v>
      </c>
    </row>
    <row r="85" spans="1:6">
      <c r="A85" s="11">
        <v>43739</v>
      </c>
      <c r="B85">
        <v>26.061822289756691</v>
      </c>
      <c r="C85">
        <v>2.522450783016605</v>
      </c>
      <c r="D85">
        <v>3.2357355009157271</v>
      </c>
      <c r="E85">
        <v>5.0543478260869561</v>
      </c>
      <c r="F85">
        <v>0</v>
      </c>
    </row>
    <row r="86" spans="1:6">
      <c r="A86" s="11">
        <v>43831</v>
      </c>
      <c r="B86">
        <v>26.044262112871571</v>
      </c>
      <c r="C86">
        <v>3.9359518324570741</v>
      </c>
      <c r="D86">
        <v>3.2494864888493229</v>
      </c>
      <c r="E86">
        <v>4.2774725274725274</v>
      </c>
      <c r="F86">
        <v>16.942967032967029</v>
      </c>
    </row>
    <row r="87" spans="1:6">
      <c r="A87" s="11">
        <v>43922</v>
      </c>
      <c r="B87">
        <v>25.933252019396999</v>
      </c>
      <c r="C87">
        <v>2.7801712430648662</v>
      </c>
      <c r="D87">
        <v>2.940089053504519</v>
      </c>
      <c r="E87">
        <v>3.1895604395604402</v>
      </c>
      <c r="F87">
        <v>77.649780219780226</v>
      </c>
    </row>
    <row r="88" spans="1:6">
      <c r="A88" s="11">
        <v>44013</v>
      </c>
      <c r="B88">
        <v>26.004843770683959</v>
      </c>
      <c r="C88">
        <v>2.5221544054909728</v>
      </c>
      <c r="D88">
        <v>2.9401820660073792</v>
      </c>
      <c r="E88">
        <v>2.097826086956522</v>
      </c>
      <c r="F88">
        <v>73.764130434782601</v>
      </c>
    </row>
    <row r="89" spans="1:6">
      <c r="A89" s="11">
        <v>44105</v>
      </c>
      <c r="B89">
        <v>26.036618118093401</v>
      </c>
      <c r="C89">
        <v>2.5632804500028472</v>
      </c>
      <c r="D89">
        <v>2.9503894827539399</v>
      </c>
      <c r="E89">
        <v>2</v>
      </c>
      <c r="F89">
        <v>61.443695652173908</v>
      </c>
    </row>
    <row r="90" spans="1:6">
      <c r="A90" s="11">
        <v>44197</v>
      </c>
      <c r="B90">
        <v>26.04152764769492</v>
      </c>
      <c r="C90">
        <v>3.4810489214591289</v>
      </c>
      <c r="D90">
        <v>2.8366637550044538</v>
      </c>
      <c r="E90">
        <v>2.1166666666666671</v>
      </c>
      <c r="F90">
        <v>69.495999999999995</v>
      </c>
    </row>
    <row r="91" spans="1:6">
      <c r="A91" s="11">
        <v>44287</v>
      </c>
      <c r="B91">
        <v>26.02525589191017</v>
      </c>
      <c r="C91">
        <v>4.4076137171942698</v>
      </c>
      <c r="D91">
        <v>3.2435243735368049</v>
      </c>
      <c r="E91">
        <v>3.3269230769230771</v>
      </c>
      <c r="F91">
        <v>62.875824175824171</v>
      </c>
    </row>
    <row r="92" spans="1:6">
      <c r="A92" s="11">
        <v>44378</v>
      </c>
      <c r="B92">
        <v>26.041509643713731</v>
      </c>
      <c r="C92">
        <v>5.5225573543782103</v>
      </c>
      <c r="D92">
        <v>3.993625110758614</v>
      </c>
      <c r="E92">
        <v>4.9565217391304346</v>
      </c>
      <c r="F92">
        <v>55.255326086956522</v>
      </c>
    </row>
    <row r="93" spans="1:6">
      <c r="A93" s="11">
        <v>44470</v>
      </c>
      <c r="B93">
        <v>26.043822368354</v>
      </c>
      <c r="C93">
        <v>5.6895837618486489</v>
      </c>
      <c r="D93">
        <v>4.7752009387200642</v>
      </c>
      <c r="E93">
        <v>7.6847826086956523</v>
      </c>
      <c r="F93">
        <v>51.517499999999998</v>
      </c>
    </row>
    <row r="94" spans="1:6">
      <c r="A94" s="11">
        <v>44562</v>
      </c>
      <c r="B94">
        <v>26.05971087430223</v>
      </c>
      <c r="C94">
        <v>7.2602120161475714</v>
      </c>
      <c r="D94">
        <v>5.7199917123921749</v>
      </c>
      <c r="E94">
        <v>10.366666666666671</v>
      </c>
      <c r="F94">
        <v>37.565666666666672</v>
      </c>
    </row>
    <row r="95" spans="1:6">
      <c r="A95" s="11">
        <v>44652</v>
      </c>
      <c r="B95">
        <v>26.078044286978312</v>
      </c>
      <c r="C95">
        <v>10.033196380467359</v>
      </c>
      <c r="D95">
        <v>7.1263873782104472</v>
      </c>
      <c r="E95">
        <v>12.45879120879121</v>
      </c>
      <c r="F95">
        <v>29.496923076923071</v>
      </c>
    </row>
    <row r="96" spans="1:6">
      <c r="A96" s="11">
        <v>44743</v>
      </c>
      <c r="B96">
        <v>26.087128241361569</v>
      </c>
      <c r="C96">
        <v>5.2054702401400199</v>
      </c>
      <c r="D96">
        <v>7.0471155996508994</v>
      </c>
      <c r="E96">
        <v>13.565217391304349</v>
      </c>
      <c r="F96">
        <v>24.42173913043478</v>
      </c>
    </row>
    <row r="97" spans="1:6">
      <c r="A97" s="11">
        <v>44835</v>
      </c>
      <c r="B97">
        <v>26.089260753658781</v>
      </c>
      <c r="C97">
        <v>3.220068612126759</v>
      </c>
      <c r="D97">
        <v>6.429736812220427</v>
      </c>
      <c r="E97">
        <v>13.75</v>
      </c>
      <c r="F97">
        <v>22.22</v>
      </c>
    </row>
    <row r="98" spans="1:6">
      <c r="A98" s="11">
        <v>44927</v>
      </c>
      <c r="B98">
        <v>26.099137280324221</v>
      </c>
      <c r="C98">
        <v>3.6326652580474632</v>
      </c>
      <c r="D98">
        <v>5.5228501226954014</v>
      </c>
      <c r="E98">
        <v>13.75</v>
      </c>
      <c r="F98">
        <v>17.776</v>
      </c>
    </row>
    <row r="99" spans="1:6">
      <c r="A99" s="11">
        <v>45017</v>
      </c>
      <c r="B99">
        <v>26.107683833004469</v>
      </c>
      <c r="C99">
        <v>3.8938935607719878</v>
      </c>
      <c r="D99">
        <v>3.9880244177715571</v>
      </c>
      <c r="E99">
        <v>13.75</v>
      </c>
      <c r="F99">
        <v>13.332000000000001</v>
      </c>
    </row>
    <row r="100" spans="1:6">
      <c r="A100" s="11">
        <v>45108</v>
      </c>
      <c r="B100">
        <v>26.11856109870623</v>
      </c>
      <c r="C100">
        <v>2.6989032001736968</v>
      </c>
      <c r="D100">
        <v>3.361382657779977</v>
      </c>
      <c r="E100">
        <v>13.375</v>
      </c>
      <c r="F100">
        <v>8.8879999999999981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EB6-26FB-4039-96A4-B784376E5C49}">
  <sheetPr>
    <tabColor theme="5" tint="0.79998168889431442"/>
  </sheetPr>
  <dimension ref="A1:I75"/>
  <sheetViews>
    <sheetView workbookViewId="0">
      <selection activeCell="G30" sqref="G30"/>
    </sheetView>
  </sheetViews>
  <sheetFormatPr defaultRowHeight="15"/>
  <cols>
    <col min="1" max="1" width="16" bestFit="1" customWidth="1"/>
  </cols>
  <sheetData>
    <row r="1" spans="1:9">
      <c r="A1" s="13" t="s">
        <v>38</v>
      </c>
      <c r="B1" s="13" t="s">
        <v>54</v>
      </c>
      <c r="C1" s="13" t="s">
        <v>46</v>
      </c>
      <c r="D1" s="13" t="s">
        <v>53</v>
      </c>
      <c r="E1" s="13" t="s">
        <v>52</v>
      </c>
      <c r="F1" s="13" t="s">
        <v>51</v>
      </c>
      <c r="G1" s="12"/>
      <c r="H1" s="12"/>
      <c r="I1" s="12"/>
    </row>
    <row r="2" spans="1:9">
      <c r="A2" s="11">
        <v>38353</v>
      </c>
      <c r="B2">
        <v>11.744740565521029</v>
      </c>
      <c r="C2">
        <v>7.9185640681341596</v>
      </c>
      <c r="D2">
        <v>5.3623206782473067</v>
      </c>
      <c r="E2">
        <v>6.4050734566666669</v>
      </c>
      <c r="F2">
        <v>0</v>
      </c>
    </row>
    <row r="3" spans="1:9">
      <c r="A3" s="11">
        <v>38443</v>
      </c>
      <c r="B3">
        <v>11.76684241790954</v>
      </c>
      <c r="C3">
        <v>4.5975632679126743</v>
      </c>
      <c r="D3">
        <v>4.8103202455095362</v>
      </c>
      <c r="E3">
        <v>6.3719147733870969</v>
      </c>
      <c r="F3">
        <v>0</v>
      </c>
    </row>
    <row r="4" spans="1:9">
      <c r="A4" s="11">
        <v>38534</v>
      </c>
      <c r="B4">
        <v>11.764554132196711</v>
      </c>
      <c r="C4">
        <v>2.212565080028583</v>
      </c>
      <c r="D4">
        <v>4.3409686413413917</v>
      </c>
      <c r="E4">
        <v>6.2595456068253963</v>
      </c>
      <c r="F4">
        <v>0</v>
      </c>
    </row>
    <row r="5" spans="1:9">
      <c r="A5" s="11">
        <v>38626</v>
      </c>
      <c r="B5">
        <v>11.78482894135233</v>
      </c>
      <c r="C5">
        <v>1.6291630284260841</v>
      </c>
      <c r="D5">
        <v>4.0894638611253757</v>
      </c>
      <c r="E5">
        <v>5.7020260433333334</v>
      </c>
      <c r="F5">
        <v>0</v>
      </c>
    </row>
    <row r="6" spans="1:9">
      <c r="A6" s="11">
        <v>38718</v>
      </c>
      <c r="B6">
        <v>11.80711310526279</v>
      </c>
      <c r="C6">
        <v>5.3317142972961529</v>
      </c>
      <c r="D6">
        <v>3.4427514184158738</v>
      </c>
      <c r="E6">
        <v>5.9220548026984128</v>
      </c>
      <c r="F6">
        <v>0</v>
      </c>
    </row>
    <row r="7" spans="1:9">
      <c r="A7" s="11">
        <v>38808</v>
      </c>
      <c r="B7">
        <v>11.8184270435404</v>
      </c>
      <c r="C7">
        <v>4.4750050602835101</v>
      </c>
      <c r="D7">
        <v>3.412111866508583</v>
      </c>
      <c r="E7">
        <v>6.1756751528813556</v>
      </c>
      <c r="F7">
        <v>0</v>
      </c>
    </row>
    <row r="8" spans="1:9">
      <c r="A8" s="11">
        <v>38899</v>
      </c>
      <c r="B8">
        <v>11.838526250559079</v>
      </c>
      <c r="C8">
        <v>3.8155400180669208</v>
      </c>
      <c r="D8">
        <v>3.8128556010181671</v>
      </c>
      <c r="E8">
        <v>6.6607508908196724</v>
      </c>
      <c r="F8">
        <v>0</v>
      </c>
    </row>
    <row r="9" spans="1:9">
      <c r="A9" s="11">
        <v>38991</v>
      </c>
      <c r="B9">
        <v>11.85661890213281</v>
      </c>
      <c r="C9">
        <v>3.3305088246288639</v>
      </c>
      <c r="D9">
        <v>4.2381920500688617</v>
      </c>
      <c r="E9">
        <v>7.2087983672881357</v>
      </c>
      <c r="F9">
        <v>0</v>
      </c>
    </row>
    <row r="10" spans="1:9">
      <c r="A10" s="11">
        <v>39083</v>
      </c>
      <c r="B10">
        <v>11.872733505537569</v>
      </c>
      <c r="C10">
        <v>8.6940310936565837</v>
      </c>
      <c r="D10">
        <v>5.0787712491589696</v>
      </c>
      <c r="E10">
        <v>7.7639359920967754</v>
      </c>
      <c r="F10">
        <v>0</v>
      </c>
    </row>
    <row r="11" spans="1:9">
      <c r="A11" s="11">
        <v>39173</v>
      </c>
      <c r="B11">
        <v>11.883825230233329</v>
      </c>
      <c r="C11">
        <v>8.7181134089241219</v>
      </c>
      <c r="D11">
        <v>6.1395483363191223</v>
      </c>
      <c r="E11">
        <v>8.4566970369491532</v>
      </c>
      <c r="F11">
        <v>0</v>
      </c>
    </row>
    <row r="12" spans="1:9">
      <c r="A12" s="11">
        <v>39264</v>
      </c>
      <c r="B12">
        <v>11.90497450413395</v>
      </c>
      <c r="C12">
        <v>3.5173659357056408</v>
      </c>
      <c r="D12">
        <v>6.0650048157288028</v>
      </c>
      <c r="E12">
        <v>9.1761128231147531</v>
      </c>
      <c r="F12">
        <v>0</v>
      </c>
    </row>
    <row r="13" spans="1:9">
      <c r="A13" s="11">
        <v>39356</v>
      </c>
      <c r="B13">
        <v>11.92003428135798</v>
      </c>
      <c r="C13">
        <v>2.9846217966762678</v>
      </c>
      <c r="D13">
        <v>5.9785330587406538</v>
      </c>
      <c r="E13">
        <v>9.2672725260655735</v>
      </c>
      <c r="F13">
        <v>0</v>
      </c>
    </row>
    <row r="14" spans="1:9">
      <c r="A14" s="11">
        <v>39448</v>
      </c>
      <c r="B14">
        <v>11.921833570374551</v>
      </c>
      <c r="C14">
        <v>8.7587634179467919</v>
      </c>
      <c r="D14">
        <v>5.9947161398132058</v>
      </c>
      <c r="E14">
        <v>9.509483530333334</v>
      </c>
      <c r="F14">
        <v>0</v>
      </c>
    </row>
    <row r="15" spans="1:9">
      <c r="A15" s="11">
        <v>39539</v>
      </c>
      <c r="B15">
        <v>11.928628061164041</v>
      </c>
      <c r="C15">
        <v>6.4805553489586387</v>
      </c>
      <c r="D15">
        <v>5.435326624821835</v>
      </c>
      <c r="E15">
        <v>9.6636379194999993</v>
      </c>
      <c r="F15">
        <v>0</v>
      </c>
    </row>
    <row r="16" spans="1:9">
      <c r="A16" s="11">
        <v>39630</v>
      </c>
      <c r="B16">
        <v>11.93764432897021</v>
      </c>
      <c r="C16">
        <v>3.3260683598736569</v>
      </c>
      <c r="D16">
        <v>5.3875022308638396</v>
      </c>
      <c r="E16">
        <v>9.9402703889062494</v>
      </c>
      <c r="F16">
        <v>0</v>
      </c>
    </row>
    <row r="17" spans="1:6">
      <c r="A17" s="11">
        <v>39722</v>
      </c>
      <c r="B17">
        <v>11.923285931449589</v>
      </c>
      <c r="C17">
        <v>4.3591355566794387</v>
      </c>
      <c r="D17">
        <v>5.7311306708646317</v>
      </c>
      <c r="E17">
        <v>9.7752281748333338</v>
      </c>
      <c r="F17">
        <v>0</v>
      </c>
    </row>
    <row r="18" spans="1:6">
      <c r="A18" s="11">
        <v>39814</v>
      </c>
      <c r="B18">
        <v>11.92455734406156</v>
      </c>
      <c r="C18">
        <v>7.2248197324674024</v>
      </c>
      <c r="D18">
        <v>5.3476447494947843</v>
      </c>
      <c r="E18">
        <v>8.5575287862295077</v>
      </c>
      <c r="F18">
        <v>0</v>
      </c>
    </row>
    <row r="19" spans="1:6">
      <c r="A19" s="11">
        <v>39904</v>
      </c>
      <c r="B19">
        <v>11.93375882493658</v>
      </c>
      <c r="C19">
        <v>4.8591097885668946</v>
      </c>
      <c r="D19">
        <v>4.942283359396848</v>
      </c>
      <c r="E19">
        <v>5.9955650712068964</v>
      </c>
      <c r="F19">
        <v>0</v>
      </c>
    </row>
    <row r="20" spans="1:6">
      <c r="A20" s="11">
        <v>39995</v>
      </c>
      <c r="B20">
        <v>11.94397955035214</v>
      </c>
      <c r="C20">
        <v>2.1555893341714372</v>
      </c>
      <c r="D20">
        <v>4.6496636029712928</v>
      </c>
      <c r="E20">
        <v>4.3468675699999997</v>
      </c>
      <c r="F20">
        <v>0</v>
      </c>
    </row>
    <row r="21" spans="1:6">
      <c r="A21" s="11">
        <v>40087</v>
      </c>
      <c r="B21">
        <v>11.95425441359672</v>
      </c>
      <c r="C21">
        <v>1.0276641828627091</v>
      </c>
      <c r="D21">
        <v>3.8167957595171109</v>
      </c>
      <c r="E21">
        <v>3.7020939005</v>
      </c>
      <c r="F21">
        <v>0</v>
      </c>
    </row>
    <row r="22" spans="1:6">
      <c r="A22" s="11">
        <v>40179</v>
      </c>
      <c r="B22">
        <v>11.962404627193211</v>
      </c>
      <c r="C22">
        <v>5.2883655467295787</v>
      </c>
      <c r="D22">
        <v>3.3326822130826552</v>
      </c>
      <c r="E22">
        <v>3.3491804378688519</v>
      </c>
      <c r="F22">
        <v>0</v>
      </c>
    </row>
    <row r="23" spans="1:6">
      <c r="A23" s="11">
        <v>40269</v>
      </c>
      <c r="B23">
        <v>11.977245023437581</v>
      </c>
      <c r="C23">
        <v>2.7797269020611641</v>
      </c>
      <c r="D23">
        <v>2.8128364914562218</v>
      </c>
      <c r="E23">
        <v>3.1813728895</v>
      </c>
      <c r="F23">
        <v>0</v>
      </c>
    </row>
    <row r="24" spans="1:6">
      <c r="A24" s="11">
        <v>40360</v>
      </c>
      <c r="B24">
        <v>11.98480634085837</v>
      </c>
      <c r="C24">
        <v>1.328702246627222</v>
      </c>
      <c r="D24">
        <v>2.6061147195701682</v>
      </c>
      <c r="E24">
        <v>3.0369425639682541</v>
      </c>
      <c r="F24">
        <v>0</v>
      </c>
    </row>
    <row r="25" spans="1:6">
      <c r="A25" s="11">
        <v>40452</v>
      </c>
      <c r="B25">
        <v>12.007668496956841</v>
      </c>
      <c r="C25">
        <v>1.1525196340635311</v>
      </c>
      <c r="D25">
        <v>2.6373285823703738</v>
      </c>
      <c r="E25">
        <v>3.025783482833333</v>
      </c>
      <c r="F25">
        <v>0</v>
      </c>
    </row>
    <row r="26" spans="1:6">
      <c r="A26" s="11">
        <v>40544</v>
      </c>
      <c r="B26">
        <v>12.027328489718901</v>
      </c>
      <c r="C26">
        <v>5.4691601542762092</v>
      </c>
      <c r="D26">
        <v>2.6825272342570319</v>
      </c>
      <c r="E26">
        <v>3.1521539856451608</v>
      </c>
      <c r="F26">
        <v>0</v>
      </c>
    </row>
    <row r="27" spans="1:6">
      <c r="A27" s="11">
        <v>40634</v>
      </c>
      <c r="B27">
        <v>12.0417362121966</v>
      </c>
      <c r="C27">
        <v>2.4932237473901608</v>
      </c>
      <c r="D27">
        <v>2.6109014455892812</v>
      </c>
      <c r="E27">
        <v>3.8405066214754102</v>
      </c>
      <c r="F27">
        <v>0</v>
      </c>
    </row>
    <row r="28" spans="1:6">
      <c r="A28" s="11">
        <v>40725</v>
      </c>
      <c r="B28">
        <v>12.06197497609373</v>
      </c>
      <c r="C28">
        <v>2.4662303483315551</v>
      </c>
      <c r="D28">
        <v>2.8952834710153641</v>
      </c>
      <c r="E28">
        <v>4.4905237047619053</v>
      </c>
      <c r="F28">
        <v>0</v>
      </c>
    </row>
    <row r="29" spans="1:6">
      <c r="A29" s="11">
        <v>40817</v>
      </c>
      <c r="B29">
        <v>12.06974930668245</v>
      </c>
      <c r="C29">
        <v>3.1165965480741238</v>
      </c>
      <c r="D29">
        <v>3.3863026995180121</v>
      </c>
      <c r="E29">
        <v>4.6706580208474584</v>
      </c>
      <c r="F29">
        <v>0</v>
      </c>
    </row>
    <row r="30" spans="1:6">
      <c r="A30" s="11">
        <v>40909</v>
      </c>
      <c r="B30">
        <v>12.08468155434878</v>
      </c>
      <c r="C30">
        <v>6.0910310030109827</v>
      </c>
      <c r="D30">
        <v>3.5417704117017048</v>
      </c>
      <c r="E30">
        <v>5.0223701415873014</v>
      </c>
      <c r="F30">
        <v>0</v>
      </c>
    </row>
    <row r="31" spans="1:6">
      <c r="A31" s="11">
        <v>41000</v>
      </c>
      <c r="B31">
        <v>12.088983845018481</v>
      </c>
      <c r="C31">
        <v>2.3510901876280239</v>
      </c>
      <c r="D31">
        <v>3.5062370217611711</v>
      </c>
      <c r="E31">
        <v>5.2724438194915253</v>
      </c>
      <c r="F31">
        <v>0</v>
      </c>
    </row>
    <row r="32" spans="1:6">
      <c r="A32" s="11">
        <v>41091</v>
      </c>
      <c r="B32">
        <v>12.08416252150815</v>
      </c>
      <c r="C32">
        <v>1.7810933173610271</v>
      </c>
      <c r="D32">
        <v>3.334952764018539</v>
      </c>
      <c r="E32">
        <v>5.0872248950819676</v>
      </c>
      <c r="F32">
        <v>0</v>
      </c>
    </row>
    <row r="33" spans="1:6">
      <c r="A33" s="11">
        <v>41183</v>
      </c>
      <c r="B33">
        <v>12.096986716930999</v>
      </c>
      <c r="C33">
        <v>1.507599640142665</v>
      </c>
      <c r="D33">
        <v>2.9327035370356751</v>
      </c>
      <c r="E33">
        <v>4.6598736983333326</v>
      </c>
      <c r="F33">
        <v>0</v>
      </c>
    </row>
    <row r="34" spans="1:6">
      <c r="A34" s="11">
        <v>41275</v>
      </c>
      <c r="B34">
        <v>12.10932260523324</v>
      </c>
      <c r="C34">
        <v>3.8421039601338252</v>
      </c>
      <c r="D34">
        <v>2.3704717763163852</v>
      </c>
      <c r="E34">
        <v>3.9617389040677971</v>
      </c>
      <c r="F34">
        <v>0</v>
      </c>
    </row>
    <row r="35" spans="1:6">
      <c r="A35" s="11">
        <v>41365</v>
      </c>
      <c r="B35">
        <v>12.14180154143467</v>
      </c>
      <c r="C35">
        <v>3.1890965703908591</v>
      </c>
      <c r="D35">
        <v>2.5799733720070939</v>
      </c>
      <c r="E35">
        <v>3.1716703475409829</v>
      </c>
      <c r="F35">
        <v>0</v>
      </c>
    </row>
    <row r="36" spans="1:6">
      <c r="A36" s="11">
        <v>41456</v>
      </c>
      <c r="B36">
        <v>12.14438976159129</v>
      </c>
      <c r="C36">
        <v>1.6047169317173979</v>
      </c>
      <c r="D36">
        <v>2.5358792755961872</v>
      </c>
      <c r="E36">
        <v>3.2505521153968249</v>
      </c>
      <c r="F36">
        <v>0</v>
      </c>
    </row>
    <row r="37" spans="1:6">
      <c r="A37" s="11">
        <v>41548</v>
      </c>
      <c r="B37">
        <v>12.158960482300641</v>
      </c>
      <c r="C37">
        <v>1.1570303621354581</v>
      </c>
      <c r="D37">
        <v>2.4482369560943851</v>
      </c>
      <c r="E37">
        <v>3.2584420158333329</v>
      </c>
      <c r="F37">
        <v>0</v>
      </c>
    </row>
    <row r="38" spans="1:6">
      <c r="A38" s="11">
        <v>41640</v>
      </c>
      <c r="B38">
        <v>12.173616436612519</v>
      </c>
      <c r="C38">
        <v>4.1138290931098442</v>
      </c>
      <c r="D38">
        <v>2.51616823933839</v>
      </c>
      <c r="E38">
        <v>3.2172666272131152</v>
      </c>
      <c r="F38">
        <v>0</v>
      </c>
    </row>
    <row r="39" spans="1:6">
      <c r="A39" s="11">
        <v>41730</v>
      </c>
      <c r="B39">
        <v>12.175644670144569</v>
      </c>
      <c r="C39">
        <v>3.8543754237657661</v>
      </c>
      <c r="D39">
        <v>2.6824879526821159</v>
      </c>
      <c r="E39">
        <v>3.493737834745763</v>
      </c>
      <c r="F39">
        <v>0</v>
      </c>
    </row>
    <row r="40" spans="1:6">
      <c r="A40" s="11">
        <v>41821</v>
      </c>
      <c r="B40">
        <v>12.18568462791686</v>
      </c>
      <c r="C40">
        <v>2.1642180596148641</v>
      </c>
      <c r="D40">
        <v>2.8223632346564829</v>
      </c>
      <c r="E40">
        <v>4.1544997621875002</v>
      </c>
      <c r="F40">
        <v>0</v>
      </c>
    </row>
    <row r="41" spans="1:6">
      <c r="A41" s="11">
        <v>41913</v>
      </c>
      <c r="B41">
        <v>12.196054076995139</v>
      </c>
      <c r="C41">
        <v>2.2243997964932931</v>
      </c>
      <c r="D41">
        <v>3.0892055932459419</v>
      </c>
      <c r="E41">
        <v>4.5036931886440676</v>
      </c>
      <c r="F41">
        <v>0</v>
      </c>
    </row>
    <row r="42" spans="1:6">
      <c r="A42" s="11">
        <v>42005</v>
      </c>
      <c r="B42">
        <v>12.20228072229075</v>
      </c>
      <c r="C42">
        <v>5.5004383263794976</v>
      </c>
      <c r="D42">
        <v>3.435857901563355</v>
      </c>
      <c r="E42">
        <v>4.5148703936065573</v>
      </c>
      <c r="F42">
        <v>0</v>
      </c>
    </row>
    <row r="43" spans="1:6">
      <c r="A43" s="11">
        <v>42095</v>
      </c>
      <c r="B43">
        <v>12.20945781318173</v>
      </c>
      <c r="C43">
        <v>5.6490402571211629</v>
      </c>
      <c r="D43">
        <v>3.8845241099022041</v>
      </c>
      <c r="E43">
        <v>4.5194675475862063</v>
      </c>
      <c r="F43">
        <v>0</v>
      </c>
    </row>
    <row r="44" spans="1:6">
      <c r="A44" s="11">
        <v>42186</v>
      </c>
      <c r="B44">
        <v>12.21946662573075</v>
      </c>
      <c r="C44">
        <v>3.5956270260007579</v>
      </c>
      <c r="D44">
        <v>4.2423763514986783</v>
      </c>
      <c r="E44">
        <v>4.5423539533333326</v>
      </c>
      <c r="F44">
        <v>0</v>
      </c>
    </row>
    <row r="45" spans="1:6">
      <c r="A45" s="11">
        <v>42278</v>
      </c>
      <c r="B45">
        <v>12.21638900621751</v>
      </c>
      <c r="C45">
        <v>6.12289990163426</v>
      </c>
      <c r="D45">
        <v>5.2170013777839186</v>
      </c>
      <c r="E45">
        <v>5.1854215489830509</v>
      </c>
      <c r="F45">
        <v>0</v>
      </c>
    </row>
    <row r="46" spans="1:6">
      <c r="A46" s="11">
        <v>42370</v>
      </c>
      <c r="B46">
        <v>12.22612797596468</v>
      </c>
      <c r="C46">
        <v>10.127523048240519</v>
      </c>
      <c r="D46">
        <v>6.3737725582491738</v>
      </c>
      <c r="E46">
        <v>6.0680636961666661</v>
      </c>
      <c r="F46">
        <v>0</v>
      </c>
    </row>
    <row r="47" spans="1:6">
      <c r="A47" s="11">
        <v>42461</v>
      </c>
      <c r="B47">
        <v>12.23117196211448</v>
      </c>
      <c r="C47">
        <v>7.2856167812853636</v>
      </c>
      <c r="D47">
        <v>6.7829166892902242</v>
      </c>
      <c r="E47">
        <v>6.9525643398387098</v>
      </c>
      <c r="F47">
        <v>0</v>
      </c>
    </row>
    <row r="48" spans="1:6">
      <c r="A48" s="11">
        <v>42552</v>
      </c>
      <c r="B48">
        <v>12.23373914309764</v>
      </c>
      <c r="C48">
        <v>4.4300892525515723</v>
      </c>
      <c r="D48">
        <v>6.9915322459279281</v>
      </c>
      <c r="E48">
        <v>7.6758787790476184</v>
      </c>
      <c r="F48">
        <v>0</v>
      </c>
    </row>
    <row r="49" spans="1:6">
      <c r="A49" s="11">
        <v>42644</v>
      </c>
      <c r="B49">
        <v>12.23923415866204</v>
      </c>
      <c r="C49">
        <v>3.2798897876752391</v>
      </c>
      <c r="D49">
        <v>6.2807797174381719</v>
      </c>
      <c r="E49">
        <v>7.7212433947457626</v>
      </c>
      <c r="F49">
        <v>0</v>
      </c>
    </row>
    <row r="50" spans="1:6">
      <c r="A50" s="11">
        <v>42736</v>
      </c>
      <c r="B50">
        <v>12.23905335671358</v>
      </c>
      <c r="C50">
        <v>8.4654834089102913</v>
      </c>
      <c r="D50">
        <v>5.8652698076056167</v>
      </c>
      <c r="E50">
        <v>7.3886283136507931</v>
      </c>
      <c r="F50">
        <v>0</v>
      </c>
    </row>
    <row r="51" spans="1:6">
      <c r="A51" s="11">
        <v>42826</v>
      </c>
      <c r="B51">
        <v>12.243330823041291</v>
      </c>
      <c r="C51">
        <v>5.7712008304133144</v>
      </c>
      <c r="D51">
        <v>5.4866658198876026</v>
      </c>
      <c r="E51">
        <v>6.5633613584745758</v>
      </c>
      <c r="F51">
        <v>0</v>
      </c>
    </row>
    <row r="52" spans="1:6">
      <c r="A52" s="11">
        <v>42917</v>
      </c>
      <c r="B52">
        <v>12.249698014955969</v>
      </c>
      <c r="C52">
        <v>1.226694122582406</v>
      </c>
      <c r="D52">
        <v>4.6858170373953119</v>
      </c>
      <c r="E52">
        <v>5.5001441340983606</v>
      </c>
      <c r="F52">
        <v>0</v>
      </c>
    </row>
    <row r="53" spans="1:6">
      <c r="A53" s="11">
        <v>43009</v>
      </c>
      <c r="B53">
        <v>12.252190180678999</v>
      </c>
      <c r="C53">
        <v>1.890066769606946</v>
      </c>
      <c r="D53">
        <v>4.338361282878239</v>
      </c>
      <c r="E53">
        <v>5.0046066691379307</v>
      </c>
      <c r="F53">
        <v>0</v>
      </c>
    </row>
    <row r="54" spans="1:6">
      <c r="A54" s="11">
        <v>43101</v>
      </c>
      <c r="B54">
        <v>12.25600742598375</v>
      </c>
      <c r="C54">
        <v>5.8146926174192037</v>
      </c>
      <c r="D54">
        <v>3.6756635850054669</v>
      </c>
      <c r="E54">
        <v>4.5719102505000002</v>
      </c>
      <c r="F54">
        <v>0</v>
      </c>
    </row>
    <row r="55" spans="1:6">
      <c r="A55" s="11">
        <v>43191</v>
      </c>
      <c r="B55">
        <v>12.27045730805601</v>
      </c>
      <c r="C55">
        <v>4.1158658720404473</v>
      </c>
      <c r="D55">
        <v>3.261829845412251</v>
      </c>
      <c r="E55">
        <v>4.3105842522950821</v>
      </c>
      <c r="F55">
        <v>0</v>
      </c>
    </row>
    <row r="56" spans="1:6">
      <c r="A56" s="11">
        <v>43282</v>
      </c>
      <c r="B56">
        <v>12.27884888196049</v>
      </c>
      <c r="C56">
        <v>1.303950458551939</v>
      </c>
      <c r="D56">
        <v>3.2811439294046338</v>
      </c>
      <c r="E56">
        <v>4.2557257895081966</v>
      </c>
      <c r="F56">
        <v>0</v>
      </c>
    </row>
    <row r="57" spans="1:6">
      <c r="A57" s="11">
        <v>43374</v>
      </c>
      <c r="B57">
        <v>12.280108158548179</v>
      </c>
      <c r="C57">
        <v>1.774788697728336</v>
      </c>
      <c r="D57">
        <v>3.252324411434981</v>
      </c>
      <c r="E57">
        <v>4.2538784546666664</v>
      </c>
      <c r="F57">
        <v>0</v>
      </c>
    </row>
    <row r="58" spans="1:6">
      <c r="A58" s="11">
        <v>43466</v>
      </c>
      <c r="B58">
        <v>12.291012931447399</v>
      </c>
      <c r="C58">
        <v>5.5287298942575003</v>
      </c>
      <c r="D58">
        <v>3.1808337306445549</v>
      </c>
      <c r="E58">
        <v>4.2555814772131146</v>
      </c>
      <c r="F58">
        <v>0</v>
      </c>
    </row>
    <row r="59" spans="1:6">
      <c r="A59" s="11">
        <v>43556</v>
      </c>
      <c r="B59">
        <v>12.30081411175952</v>
      </c>
      <c r="C59">
        <v>4.7022907750788878</v>
      </c>
      <c r="D59">
        <v>3.3274399564041661</v>
      </c>
      <c r="E59">
        <v>4.260639622666667</v>
      </c>
      <c r="F59">
        <v>0</v>
      </c>
    </row>
    <row r="60" spans="1:6">
      <c r="A60" s="11">
        <v>43647</v>
      </c>
      <c r="B60">
        <v>12.31057031772208</v>
      </c>
      <c r="C60">
        <v>2.1619180585342961</v>
      </c>
      <c r="D60">
        <v>3.5419318563997551</v>
      </c>
      <c r="E60">
        <v>4.2631764066666671</v>
      </c>
      <c r="F60">
        <v>0</v>
      </c>
    </row>
    <row r="61" spans="1:6">
      <c r="A61" s="11">
        <v>43739</v>
      </c>
      <c r="B61">
        <v>12.30857556864094</v>
      </c>
      <c r="C61">
        <v>2.549796689704964</v>
      </c>
      <c r="D61">
        <v>3.7356838543939119</v>
      </c>
      <c r="E61">
        <v>4.2578333131666666</v>
      </c>
      <c r="F61">
        <v>0</v>
      </c>
    </row>
    <row r="62" spans="1:6">
      <c r="A62" s="11">
        <v>43831</v>
      </c>
      <c r="B62">
        <v>12.294823434991629</v>
      </c>
      <c r="C62">
        <v>5.1009266998917724</v>
      </c>
      <c r="D62">
        <v>3.62873305580248</v>
      </c>
      <c r="E62">
        <v>4.2234061409677421</v>
      </c>
      <c r="F62">
        <v>18.76175824175824</v>
      </c>
    </row>
    <row r="63" spans="1:6">
      <c r="A63" s="11">
        <v>43922</v>
      </c>
      <c r="B63">
        <v>12.11687682291935</v>
      </c>
      <c r="C63">
        <v>1.0182076179365169</v>
      </c>
      <c r="D63">
        <v>2.7077122665168871</v>
      </c>
      <c r="E63">
        <v>3.2266335736206901</v>
      </c>
      <c r="F63">
        <v>87.23186813186814</v>
      </c>
    </row>
    <row r="64" spans="1:6">
      <c r="A64" s="11">
        <v>44013</v>
      </c>
      <c r="B64">
        <v>12.21568241294422</v>
      </c>
      <c r="C64">
        <v>0.31352859101567709</v>
      </c>
      <c r="D64">
        <v>2.245614899637232</v>
      </c>
      <c r="E64">
        <v>2.226156826984127</v>
      </c>
      <c r="F64">
        <v>81.907391304347826</v>
      </c>
    </row>
    <row r="65" spans="1:6">
      <c r="A65" s="11">
        <v>44105</v>
      </c>
      <c r="B65">
        <v>12.273211704644091</v>
      </c>
      <c r="C65">
        <v>1.7256844533205971</v>
      </c>
      <c r="D65">
        <v>2.039586840541141</v>
      </c>
      <c r="E65">
        <v>1.753357668474576</v>
      </c>
      <c r="F65">
        <v>64.656086956521733</v>
      </c>
    </row>
    <row r="66" spans="1:6">
      <c r="A66" s="11">
        <v>44197</v>
      </c>
      <c r="B66">
        <v>12.312841467554</v>
      </c>
      <c r="C66">
        <v>3.891140891906653</v>
      </c>
      <c r="D66">
        <v>1.7371403885448611</v>
      </c>
      <c r="E66">
        <v>1.734076304918033</v>
      </c>
      <c r="F66">
        <v>79.63133333333333</v>
      </c>
    </row>
    <row r="67" spans="1:6">
      <c r="A67" s="11">
        <v>44287</v>
      </c>
      <c r="B67">
        <v>12.29116870934581</v>
      </c>
      <c r="C67">
        <v>4.9820898080255249</v>
      </c>
      <c r="D67">
        <v>2.7281109360671132</v>
      </c>
      <c r="E67">
        <v>1.750735391666667</v>
      </c>
      <c r="F67">
        <v>68.43626373626374</v>
      </c>
    </row>
    <row r="68" spans="1:6">
      <c r="A68" s="11">
        <v>44378</v>
      </c>
      <c r="B68">
        <v>12.34365073510298</v>
      </c>
      <c r="C68">
        <v>4.4906798489021682</v>
      </c>
      <c r="D68">
        <v>3.772398750538736</v>
      </c>
      <c r="E68">
        <v>1.7681322442857139</v>
      </c>
      <c r="F68">
        <v>48.854782608695643</v>
      </c>
    </row>
    <row r="69" spans="1:6">
      <c r="A69" s="11">
        <v>44470</v>
      </c>
      <c r="B69">
        <v>12.378150273704859</v>
      </c>
      <c r="C69">
        <v>3.0127745295906339</v>
      </c>
      <c r="D69">
        <v>4.0941712696062451</v>
      </c>
      <c r="E69">
        <v>2.4432255373333329</v>
      </c>
      <c r="F69">
        <v>47.602826086956519</v>
      </c>
    </row>
    <row r="70" spans="1:6">
      <c r="A70" s="11">
        <v>44562</v>
      </c>
      <c r="B70">
        <v>12.390092298942269</v>
      </c>
      <c r="C70">
        <v>13.04747333376819</v>
      </c>
      <c r="D70">
        <v>6.3832543800716284</v>
      </c>
      <c r="E70">
        <v>3.757294426129032</v>
      </c>
      <c r="F70">
        <v>45.018111111111111</v>
      </c>
    </row>
    <row r="71" spans="1:6">
      <c r="A71" s="11">
        <v>44652</v>
      </c>
      <c r="B71">
        <v>12.40585144397121</v>
      </c>
      <c r="C71">
        <v>11.95716554957473</v>
      </c>
      <c r="D71">
        <v>8.1270233154589313</v>
      </c>
      <c r="E71">
        <v>5.7572492280000001</v>
      </c>
      <c r="F71">
        <v>26.613516483516481</v>
      </c>
    </row>
    <row r="72" spans="1:6">
      <c r="A72" s="11">
        <v>44743</v>
      </c>
      <c r="B72">
        <v>12.41440837478685</v>
      </c>
      <c r="C72">
        <v>9.9600369707198766</v>
      </c>
      <c r="D72">
        <v>9.4943625959133584</v>
      </c>
      <c r="E72">
        <v>8.5769977660317451</v>
      </c>
      <c r="F72">
        <v>20.317173913043479</v>
      </c>
    </row>
    <row r="73" spans="1:6">
      <c r="A73" s="11">
        <v>44835</v>
      </c>
      <c r="B73">
        <v>12.397662939333561</v>
      </c>
      <c r="C73">
        <v>9.7121109021589334</v>
      </c>
      <c r="D73">
        <v>11.169196689055431</v>
      </c>
      <c r="E73">
        <v>10.822290113559321</v>
      </c>
      <c r="F73">
        <v>19.440000000000001</v>
      </c>
    </row>
    <row r="74" spans="1:6">
      <c r="A74" s="11">
        <v>44927</v>
      </c>
      <c r="B74">
        <v>12.419637060486471</v>
      </c>
      <c r="C74">
        <v>17.075218157969768</v>
      </c>
      <c r="D74">
        <v>12.17613289510583</v>
      </c>
      <c r="E74">
        <v>12.46550412952381</v>
      </c>
      <c r="F74">
        <v>15.552</v>
      </c>
    </row>
    <row r="75" spans="1:6">
      <c r="A75" s="11">
        <v>45017</v>
      </c>
      <c r="B75">
        <v>12.409270538903741</v>
      </c>
      <c r="C75">
        <v>11.00628442178995</v>
      </c>
      <c r="D75">
        <v>11.938412613159629</v>
      </c>
      <c r="E75">
        <v>13.19447442186441</v>
      </c>
      <c r="F75">
        <v>11.664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2438-ECD8-47C5-ABF1-4D83FD795178}">
  <sheetPr>
    <tabColor theme="5" tint="0.79998168889431442"/>
  </sheetPr>
  <dimension ref="A1:K70"/>
  <sheetViews>
    <sheetView topLeftCell="A46" workbookViewId="0">
      <selection activeCell="G30" sqref="G30"/>
    </sheetView>
  </sheetViews>
  <sheetFormatPr defaultRowHeight="15"/>
  <cols>
    <col min="1" max="1" width="15.625" bestFit="1" customWidth="1"/>
    <col min="4" max="4" width="17.375" bestFit="1" customWidth="1"/>
  </cols>
  <sheetData>
    <row r="1" spans="1:11">
      <c r="A1" s="10" t="s">
        <v>38</v>
      </c>
      <c r="B1" s="10" t="s">
        <v>54</v>
      </c>
      <c r="C1" s="10" t="s">
        <v>46</v>
      </c>
      <c r="D1" s="10" t="s">
        <v>53</v>
      </c>
      <c r="E1" s="10" t="s">
        <v>52</v>
      </c>
      <c r="F1" s="10" t="s">
        <v>51</v>
      </c>
      <c r="H1" s="9" t="s">
        <v>50</v>
      </c>
      <c r="I1" s="9" t="s">
        <v>49</v>
      </c>
      <c r="J1" s="9" t="s">
        <v>48</v>
      </c>
      <c r="K1">
        <f>CORREL(E18:E55, J17:J54)</f>
        <v>0.6598851497040138</v>
      </c>
    </row>
    <row r="2" spans="1:11">
      <c r="A2" s="8">
        <v>38718</v>
      </c>
      <c r="B2">
        <v>16.481314125229371</v>
      </c>
      <c r="C2">
        <v>3.3717526658161301</v>
      </c>
      <c r="D2">
        <v>3.120358308939347</v>
      </c>
      <c r="E2">
        <v>7.8033333333333337</v>
      </c>
      <c r="F2">
        <v>0</v>
      </c>
      <c r="H2" cm="1">
        <f t="array" ref="H2:H70">TREND(B2:B70)</f>
        <v>16.478665258017713</v>
      </c>
      <c r="I2">
        <f>B2-H2</f>
        <v>2.6488672116578016E-3</v>
      </c>
      <c r="J2">
        <f>E2-C2</f>
        <v>4.4315806675172036</v>
      </c>
    </row>
    <row r="3" spans="1:11">
      <c r="A3" s="8">
        <v>38808</v>
      </c>
      <c r="B3">
        <v>16.491020253161452</v>
      </c>
      <c r="C3">
        <v>3.69967348980067</v>
      </c>
      <c r="D3">
        <v>3.3160035047399901</v>
      </c>
      <c r="E3">
        <v>7.0766666666666671</v>
      </c>
      <c r="F3">
        <v>0</v>
      </c>
      <c r="H3">
        <v>16.482819189573114</v>
      </c>
      <c r="I3">
        <f>B3-H3</f>
        <v>8.2010635883378313E-3</v>
      </c>
      <c r="J3">
        <f>E3-C3</f>
        <v>3.3769931768659971</v>
      </c>
    </row>
    <row r="4" spans="1:11">
      <c r="A4" s="8">
        <v>38899</v>
      </c>
      <c r="B4">
        <v>16.493766986488239</v>
      </c>
      <c r="C4">
        <v>3.2615284516982261</v>
      </c>
      <c r="D4">
        <v>3.435945268513696</v>
      </c>
      <c r="E4">
        <v>7.0366666666666662</v>
      </c>
      <c r="F4">
        <v>0</v>
      </c>
      <c r="H4">
        <v>16.486973121128518</v>
      </c>
      <c r="I4">
        <f>B4-H4</f>
        <v>6.7938653597217069E-3</v>
      </c>
      <c r="J4">
        <f>E4-C4</f>
        <v>3.77513821496844</v>
      </c>
    </row>
    <row r="5" spans="1:11">
      <c r="A5" s="8">
        <v>38991</v>
      </c>
      <c r="B5">
        <v>16.496259994870421</v>
      </c>
      <c r="C5">
        <v>3.9067394823066648</v>
      </c>
      <c r="D5">
        <v>3.559923522405422</v>
      </c>
      <c r="E5">
        <v>7.043333333333333</v>
      </c>
      <c r="F5">
        <v>0</v>
      </c>
      <c r="H5">
        <v>16.491127052683922</v>
      </c>
      <c r="I5">
        <f>B5-H5</f>
        <v>5.1329421864991787E-3</v>
      </c>
      <c r="J5">
        <f>E5-C5</f>
        <v>3.1365938510266682</v>
      </c>
    </row>
    <row r="6" spans="1:11">
      <c r="A6" s="8">
        <v>39083</v>
      </c>
      <c r="B6">
        <v>16.503292981604741</v>
      </c>
      <c r="C6">
        <v>4.7536143220917593</v>
      </c>
      <c r="D6">
        <v>3.9053889364743299</v>
      </c>
      <c r="E6">
        <v>7.03</v>
      </c>
      <c r="F6">
        <v>0</v>
      </c>
      <c r="H6">
        <v>16.495280984239326</v>
      </c>
      <c r="I6">
        <f>B6-H6</f>
        <v>8.0119973654149135E-3</v>
      </c>
      <c r="J6">
        <f>E6-C6</f>
        <v>2.276385677908241</v>
      </c>
    </row>
    <row r="7" spans="1:11">
      <c r="A7" s="8">
        <v>39173</v>
      </c>
      <c r="B7">
        <v>16.51092463850695</v>
      </c>
      <c r="C7">
        <v>2.9995205353107619</v>
      </c>
      <c r="D7">
        <v>3.7303506978518528</v>
      </c>
      <c r="E7">
        <v>7.2066666666666661</v>
      </c>
      <c r="F7">
        <v>0</v>
      </c>
      <c r="H7">
        <v>16.499434915794726</v>
      </c>
      <c r="I7">
        <f>B7-H7</f>
        <v>1.1489722712223482E-2</v>
      </c>
      <c r="J7">
        <f>E7-C7</f>
        <v>4.2071461313559038</v>
      </c>
    </row>
    <row r="8" spans="1:11">
      <c r="A8" s="8">
        <v>39264</v>
      </c>
      <c r="B8">
        <v>16.517198261236079</v>
      </c>
      <c r="C8">
        <v>3.6608431896063549</v>
      </c>
      <c r="D8">
        <v>3.8301793823288852</v>
      </c>
      <c r="E8">
        <v>7.2633333333333328</v>
      </c>
      <c r="F8">
        <v>0</v>
      </c>
      <c r="H8">
        <v>16.50358884735013</v>
      </c>
      <c r="I8">
        <f>B8-H8</f>
        <v>1.3609413885948385E-2</v>
      </c>
      <c r="J8">
        <f>E8-C8</f>
        <v>3.6024901437269778</v>
      </c>
    </row>
    <row r="9" spans="1:11">
      <c r="A9" s="8">
        <v>39356</v>
      </c>
      <c r="B9">
        <v>16.521125315780608</v>
      </c>
      <c r="C9">
        <v>4.1560008273135329</v>
      </c>
      <c r="D9">
        <v>3.8924947185806018</v>
      </c>
      <c r="E9">
        <v>7.4333333333333336</v>
      </c>
      <c r="F9">
        <v>0</v>
      </c>
      <c r="H9">
        <v>16.507742778905534</v>
      </c>
      <c r="I9">
        <f>B9-H9</f>
        <v>1.338253687507418E-2</v>
      </c>
      <c r="J9">
        <f>E9-C9</f>
        <v>3.2773325060198006</v>
      </c>
    </row>
    <row r="10" spans="1:11">
      <c r="A10" s="8">
        <v>39448</v>
      </c>
      <c r="B10">
        <v>16.519310204913531</v>
      </c>
      <c r="C10">
        <v>4.9501587922693657</v>
      </c>
      <c r="D10">
        <v>3.9416308361250039</v>
      </c>
      <c r="E10">
        <v>7.5066666666666668</v>
      </c>
      <c r="F10">
        <v>0</v>
      </c>
      <c r="H10">
        <v>16.511896710460938</v>
      </c>
      <c r="I10">
        <f>B10-H10</f>
        <v>7.4134944525923174E-3</v>
      </c>
      <c r="J10">
        <f>E10-C10</f>
        <v>2.5565078743973011</v>
      </c>
    </row>
    <row r="11" spans="1:11">
      <c r="A11" s="8">
        <v>39539</v>
      </c>
      <c r="B11">
        <v>16.526648706445709</v>
      </c>
      <c r="C11">
        <v>5.4797323314526034</v>
      </c>
      <c r="D11">
        <v>4.5616837851604641</v>
      </c>
      <c r="E11">
        <v>7.5333333333333341</v>
      </c>
      <c r="F11">
        <v>0</v>
      </c>
      <c r="H11">
        <v>16.516050642016339</v>
      </c>
      <c r="I11">
        <f>B11-H11</f>
        <v>1.0598064429370169E-2</v>
      </c>
      <c r="J11">
        <f>E11-C11</f>
        <v>2.0536010018807307</v>
      </c>
    </row>
    <row r="12" spans="1:11">
      <c r="A12" s="8">
        <v>39630</v>
      </c>
      <c r="B12">
        <v>16.52995876808696</v>
      </c>
      <c r="C12">
        <v>5.4937591115338247</v>
      </c>
      <c r="D12">
        <v>5.0199127656423306</v>
      </c>
      <c r="E12">
        <v>8.0766666666666662</v>
      </c>
      <c r="F12">
        <v>0</v>
      </c>
      <c r="H12">
        <v>16.520204573571743</v>
      </c>
      <c r="I12">
        <f>B12-H12</f>
        <v>9.7541945152173071E-3</v>
      </c>
      <c r="J12">
        <f>E12-C12</f>
        <v>2.5829075551328415</v>
      </c>
    </row>
    <row r="13" spans="1:11">
      <c r="A13" s="8">
        <v>39722</v>
      </c>
      <c r="B13">
        <v>16.513496436583189</v>
      </c>
      <c r="C13">
        <v>5.3670875063546184</v>
      </c>
      <c r="D13">
        <v>5.3226844354026026</v>
      </c>
      <c r="E13">
        <v>7.9766666666666666</v>
      </c>
      <c r="F13">
        <v>0</v>
      </c>
      <c r="H13">
        <v>16.524358505127147</v>
      </c>
      <c r="I13">
        <f>B13-H13</f>
        <v>-1.0862068543957548E-2</v>
      </c>
      <c r="J13">
        <f>E13-C13</f>
        <v>2.6095791603120482</v>
      </c>
    </row>
    <row r="14" spans="1:11">
      <c r="A14" s="8">
        <v>39814</v>
      </c>
      <c r="B14">
        <v>16.461015265640199</v>
      </c>
      <c r="C14">
        <v>5.9984268631781523</v>
      </c>
      <c r="D14">
        <v>5.5847514531297993</v>
      </c>
      <c r="E14">
        <v>7.63</v>
      </c>
      <c r="F14">
        <v>0</v>
      </c>
      <c r="H14">
        <v>16.528512436682551</v>
      </c>
      <c r="I14">
        <f>B14-H14</f>
        <v>-6.7497171042351312E-2</v>
      </c>
      <c r="J14">
        <f>E14-C14</f>
        <v>1.6315731368218476</v>
      </c>
    </row>
    <row r="15" spans="1:11">
      <c r="A15" s="8">
        <v>39904</v>
      </c>
      <c r="B15">
        <v>16.445916003450868</v>
      </c>
      <c r="C15">
        <v>4.652897192632488</v>
      </c>
      <c r="D15">
        <v>5.3780426684247704</v>
      </c>
      <c r="E15">
        <v>5.6766666666666667</v>
      </c>
      <c r="F15">
        <v>0</v>
      </c>
      <c r="H15">
        <v>16.532666368237951</v>
      </c>
      <c r="I15">
        <f>B15-H15</f>
        <v>-8.6750364787082646E-2</v>
      </c>
      <c r="J15">
        <f>E15-C15</f>
        <v>1.0237694740341787</v>
      </c>
    </row>
    <row r="16" spans="1:11">
      <c r="A16" s="8">
        <v>39995</v>
      </c>
      <c r="B16">
        <v>16.478483327169052</v>
      </c>
      <c r="C16">
        <v>3.1513199882166938</v>
      </c>
      <c r="D16">
        <v>4.7924328875954876</v>
      </c>
      <c r="E16">
        <v>4.55</v>
      </c>
      <c r="F16">
        <v>0</v>
      </c>
      <c r="H16">
        <v>16.536820299793355</v>
      </c>
      <c r="I16">
        <f>B16-H16</f>
        <v>-5.8336972624303485E-2</v>
      </c>
      <c r="J16">
        <f>E16-C16</f>
        <v>1.398680011783306</v>
      </c>
    </row>
    <row r="17" spans="1:10">
      <c r="A17" s="8">
        <v>40087</v>
      </c>
      <c r="B17">
        <v>16.49491699544938</v>
      </c>
      <c r="C17">
        <v>3.6043345944380518</v>
      </c>
      <c r="D17">
        <v>4.3517446596163456</v>
      </c>
      <c r="E17">
        <v>4.5633333333333326</v>
      </c>
      <c r="F17">
        <v>0</v>
      </c>
      <c r="H17">
        <v>16.540974231348759</v>
      </c>
      <c r="I17">
        <f>B17-H17</f>
        <v>-4.6057235899379378E-2</v>
      </c>
      <c r="J17">
        <f>E17-C17</f>
        <v>0.95899873889528076</v>
      </c>
    </row>
    <row r="18" spans="1:10">
      <c r="A18" s="8">
        <v>40179</v>
      </c>
      <c r="B18">
        <v>16.50541402522169</v>
      </c>
      <c r="C18">
        <v>6.1658753221655038</v>
      </c>
      <c r="D18">
        <v>4.3936067743631844</v>
      </c>
      <c r="E18">
        <v>4.5933333333333328</v>
      </c>
      <c r="F18">
        <v>0</v>
      </c>
      <c r="H18">
        <v>16.54512816290416</v>
      </c>
      <c r="I18">
        <f>B18-H18</f>
        <v>-3.9714137682469897E-2</v>
      </c>
      <c r="J18">
        <f>E18-C18</f>
        <v>-1.572541988832171</v>
      </c>
    </row>
    <row r="19" spans="1:10">
      <c r="A19" s="8">
        <v>40269</v>
      </c>
      <c r="B19">
        <v>16.516236515492409</v>
      </c>
      <c r="C19">
        <v>2.7519030100945141</v>
      </c>
      <c r="D19">
        <v>3.9183582287286911</v>
      </c>
      <c r="E19">
        <v>4.5966666666666667</v>
      </c>
      <c r="F19">
        <v>0</v>
      </c>
      <c r="H19">
        <v>16.549282094459564</v>
      </c>
      <c r="I19">
        <f>B19-H19</f>
        <v>-3.3045578967154654E-2</v>
      </c>
      <c r="J19">
        <f>E19-C19</f>
        <v>1.8447636565721526</v>
      </c>
    </row>
    <row r="20" spans="1:10">
      <c r="A20" s="8">
        <v>40360</v>
      </c>
      <c r="B20">
        <v>16.52571258223351</v>
      </c>
      <c r="C20">
        <v>2.2903256690671951</v>
      </c>
      <c r="D20">
        <v>3.7031096489413158</v>
      </c>
      <c r="E20">
        <v>4.59</v>
      </c>
      <c r="F20">
        <v>0</v>
      </c>
      <c r="H20">
        <v>16.553436026014968</v>
      </c>
      <c r="I20">
        <f>B20-H20</f>
        <v>-2.7723443781457746E-2</v>
      </c>
      <c r="J20">
        <f>E20-C20</f>
        <v>2.2996743309328047</v>
      </c>
    </row>
    <row r="21" spans="1:10">
      <c r="A21" s="8">
        <v>40452</v>
      </c>
      <c r="B21">
        <v>16.533371060313989</v>
      </c>
      <c r="C21">
        <v>3.1103019143184918</v>
      </c>
      <c r="D21">
        <v>3.5796014789114259</v>
      </c>
      <c r="E21">
        <v>4.5633333333333326</v>
      </c>
      <c r="F21">
        <v>0</v>
      </c>
      <c r="H21">
        <v>16.557589957570372</v>
      </c>
      <c r="I21">
        <f>B21-H21</f>
        <v>-2.4218897256382377E-2</v>
      </c>
      <c r="J21">
        <f>E21-C21</f>
        <v>1.4530314190148408</v>
      </c>
    </row>
    <row r="22" spans="1:10">
      <c r="A22" s="8">
        <v>40544</v>
      </c>
      <c r="B22">
        <v>16.541005438653031</v>
      </c>
      <c r="C22">
        <v>4.8789384281731962</v>
      </c>
      <c r="D22">
        <v>3.2578672554133492</v>
      </c>
      <c r="E22">
        <v>4.5199999999999996</v>
      </c>
      <c r="F22">
        <v>0</v>
      </c>
      <c r="H22">
        <v>16.561743889125772</v>
      </c>
      <c r="I22">
        <f>B22-H22</f>
        <v>-2.0738450472741476E-2</v>
      </c>
      <c r="J22">
        <f>E22-C22</f>
        <v>-0.35893842817319666</v>
      </c>
    </row>
    <row r="23" spans="1:10">
      <c r="A23" s="8">
        <v>40634</v>
      </c>
      <c r="B23">
        <v>16.54626711417399</v>
      </c>
      <c r="C23">
        <v>2.4110291956751069</v>
      </c>
      <c r="D23">
        <v>3.172648801808498</v>
      </c>
      <c r="E23">
        <v>4.4866666666666672</v>
      </c>
      <c r="F23">
        <v>0</v>
      </c>
      <c r="H23">
        <v>16.565897820681176</v>
      </c>
      <c r="I23">
        <f>B23-H23</f>
        <v>-1.9630706507186346E-2</v>
      </c>
      <c r="J23">
        <f>E23-C23</f>
        <v>2.0756374709915604</v>
      </c>
    </row>
    <row r="24" spans="1:10">
      <c r="A24" s="8">
        <v>40725</v>
      </c>
      <c r="B24">
        <v>16.56554148040345</v>
      </c>
      <c r="C24">
        <v>2.3311584027341898</v>
      </c>
      <c r="D24">
        <v>3.182856985225246</v>
      </c>
      <c r="E24">
        <v>4.4266666666666667</v>
      </c>
      <c r="F24">
        <v>0</v>
      </c>
      <c r="H24">
        <v>16.57005175223658</v>
      </c>
      <c r="I24">
        <f>B24-H24</f>
        <v>-4.5102718331300196E-3</v>
      </c>
      <c r="J24">
        <f>E24-C24</f>
        <v>2.0955082639324769</v>
      </c>
    </row>
    <row r="25" spans="1:10">
      <c r="A25" s="8">
        <v>40817</v>
      </c>
      <c r="B25">
        <v>16.57203442871236</v>
      </c>
      <c r="C25">
        <v>3.5098124862678941</v>
      </c>
      <c r="D25">
        <v>3.2827346282125971</v>
      </c>
      <c r="E25">
        <v>4.4266666666666667</v>
      </c>
      <c r="F25">
        <v>0</v>
      </c>
      <c r="H25">
        <v>16.574205683791984</v>
      </c>
      <c r="I25">
        <f>B25-H25</f>
        <v>-2.1712550796237906E-3</v>
      </c>
      <c r="J25">
        <f>E25-C25</f>
        <v>0.91685418039877264</v>
      </c>
    </row>
    <row r="26" spans="1:10">
      <c r="A26" s="8">
        <v>40909</v>
      </c>
      <c r="B26">
        <v>16.578610718344169</v>
      </c>
      <c r="C26">
        <v>5.1707672369560642</v>
      </c>
      <c r="D26">
        <v>3.3556918304083139</v>
      </c>
      <c r="E26">
        <v>4.4933333333333332</v>
      </c>
      <c r="F26">
        <v>0</v>
      </c>
      <c r="H26">
        <v>16.578359615347384</v>
      </c>
      <c r="I26">
        <f>B26-H26</f>
        <v>2.5110299678487991E-4</v>
      </c>
      <c r="J26">
        <f>E26-C26</f>
        <v>-0.67743390362273104</v>
      </c>
    </row>
    <row r="27" spans="1:10">
      <c r="A27" s="8">
        <v>41000</v>
      </c>
      <c r="B27">
        <v>16.587392286592959</v>
      </c>
      <c r="C27">
        <v>2.8624008384040782</v>
      </c>
      <c r="D27">
        <v>3.468534741090556</v>
      </c>
      <c r="E27">
        <v>4.4933333333333332</v>
      </c>
      <c r="F27">
        <v>0</v>
      </c>
      <c r="H27">
        <v>16.582513546902788</v>
      </c>
      <c r="I27">
        <f>B27-H27</f>
        <v>4.8787396901701641E-3</v>
      </c>
      <c r="J27">
        <f>E27-C27</f>
        <v>1.630932494929255</v>
      </c>
    </row>
    <row r="28" spans="1:10">
      <c r="A28" s="8">
        <v>41091</v>
      </c>
      <c r="B28">
        <v>16.592737021736241</v>
      </c>
      <c r="C28">
        <v>3.0548913384645271</v>
      </c>
      <c r="D28">
        <v>3.64946797502314</v>
      </c>
      <c r="E28">
        <v>4.49</v>
      </c>
      <c r="F28">
        <v>0</v>
      </c>
      <c r="H28">
        <v>16.586667478458192</v>
      </c>
      <c r="I28">
        <f>B28-H28</f>
        <v>6.0695432780484282E-3</v>
      </c>
      <c r="J28">
        <f>E28-C28</f>
        <v>1.4351086615354731</v>
      </c>
    </row>
    <row r="29" spans="1:10">
      <c r="A29" s="8">
        <v>41183</v>
      </c>
      <c r="B29">
        <v>16.601319148902299</v>
      </c>
      <c r="C29">
        <v>2.0041130546772261</v>
      </c>
      <c r="D29">
        <v>3.2730431171254741</v>
      </c>
      <c r="E29">
        <v>4.503333333333333</v>
      </c>
      <c r="F29">
        <v>0</v>
      </c>
      <c r="H29">
        <v>16.590821410013596</v>
      </c>
      <c r="I29">
        <f>B29-H29</f>
        <v>1.0497738888702202E-2</v>
      </c>
      <c r="J29">
        <f>E29-C29</f>
        <v>2.4992202786561069</v>
      </c>
    </row>
    <row r="30" spans="1:10">
      <c r="A30" s="8">
        <v>41275</v>
      </c>
      <c r="B30">
        <v>16.60389349237083</v>
      </c>
      <c r="C30">
        <v>3.8949479744332161</v>
      </c>
      <c r="D30">
        <v>2.9540883014947621</v>
      </c>
      <c r="E30">
        <v>4.3766666666666669</v>
      </c>
      <c r="F30">
        <v>0</v>
      </c>
      <c r="H30">
        <v>16.594975341568997</v>
      </c>
      <c r="I30">
        <f>B30-H30</f>
        <v>8.9181508018327804E-3</v>
      </c>
      <c r="J30">
        <f>E30-C30</f>
        <v>0.48171869223345087</v>
      </c>
    </row>
    <row r="31" spans="1:10">
      <c r="A31" s="8">
        <v>41365</v>
      </c>
      <c r="B31">
        <v>16.598592390705889</v>
      </c>
      <c r="C31">
        <v>2.5326502966600768</v>
      </c>
      <c r="D31">
        <v>2.8716506660587622</v>
      </c>
      <c r="E31">
        <v>4.0199999999999996</v>
      </c>
      <c r="F31">
        <v>0</v>
      </c>
      <c r="H31">
        <v>16.599129273124401</v>
      </c>
      <c r="I31">
        <f>B31-H31</f>
        <v>-5.368824185119081E-4</v>
      </c>
      <c r="J31">
        <f>E31-C31</f>
        <v>1.4873497033399228</v>
      </c>
    </row>
    <row r="32" spans="1:10">
      <c r="A32" s="8">
        <v>41456</v>
      </c>
      <c r="B32">
        <v>16.607245000607669</v>
      </c>
      <c r="C32">
        <v>1.408782329191016</v>
      </c>
      <c r="D32">
        <v>2.460123413740384</v>
      </c>
      <c r="E32">
        <v>3.9466666666666672</v>
      </c>
      <c r="F32">
        <v>0</v>
      </c>
      <c r="H32">
        <v>16.603283204679805</v>
      </c>
      <c r="I32">
        <f>B32-H32</f>
        <v>3.9617959278643866E-3</v>
      </c>
      <c r="J32">
        <f>E32-C32</f>
        <v>2.537884337475651</v>
      </c>
    </row>
    <row r="33" spans="1:10">
      <c r="A33" s="8">
        <v>41548</v>
      </c>
      <c r="B33">
        <v>16.613143855238619</v>
      </c>
      <c r="C33">
        <v>2.576328723736343</v>
      </c>
      <c r="D33">
        <v>2.6031773310051629</v>
      </c>
      <c r="E33">
        <v>3.6366666666666672</v>
      </c>
      <c r="F33">
        <v>0</v>
      </c>
      <c r="H33">
        <v>16.607437136235205</v>
      </c>
      <c r="I33">
        <f>B33-H33</f>
        <v>5.7067190034132409E-3</v>
      </c>
      <c r="J33">
        <f>E33-C33</f>
        <v>1.0603379429303241</v>
      </c>
    </row>
    <row r="34" spans="1:10">
      <c r="A34" s="8">
        <v>41640</v>
      </c>
      <c r="B34">
        <v>16.62004469823054</v>
      </c>
      <c r="C34">
        <v>5.6287894508272318</v>
      </c>
      <c r="D34">
        <v>3.0366377001036668</v>
      </c>
      <c r="E34">
        <v>3.51</v>
      </c>
      <c r="F34">
        <v>0</v>
      </c>
      <c r="H34">
        <v>16.611591067790609</v>
      </c>
      <c r="I34">
        <f>B34-H34</f>
        <v>8.4536304399307483E-3</v>
      </c>
      <c r="J34">
        <f>E34-C34</f>
        <v>-2.118789450827232</v>
      </c>
    </row>
    <row r="35" spans="1:10">
      <c r="A35" s="8">
        <v>41730</v>
      </c>
      <c r="B35">
        <v>16.633112553033271</v>
      </c>
      <c r="C35">
        <v>2.6440056847855549</v>
      </c>
      <c r="D35">
        <v>3.0644765471350368</v>
      </c>
      <c r="E35">
        <v>3.4033333333333329</v>
      </c>
      <c r="F35">
        <v>0</v>
      </c>
      <c r="H35">
        <v>16.615744999346013</v>
      </c>
      <c r="I35">
        <f>B35-H35</f>
        <v>1.7367553687257953E-2</v>
      </c>
      <c r="J35">
        <f>E35-C35</f>
        <v>0.75932764854777801</v>
      </c>
    </row>
    <row r="36" spans="1:10">
      <c r="A36" s="8">
        <v>41821</v>
      </c>
      <c r="B36">
        <v>16.635570944582149</v>
      </c>
      <c r="C36">
        <v>2.413341445658967</v>
      </c>
      <c r="D36">
        <v>3.3156163262520248</v>
      </c>
      <c r="E36">
        <v>3.03</v>
      </c>
      <c r="F36">
        <v>0</v>
      </c>
      <c r="H36">
        <v>16.619898930901417</v>
      </c>
      <c r="I36">
        <f>B36-H36</f>
        <v>1.5672013680731567E-2</v>
      </c>
      <c r="J36">
        <f>E36-C36</f>
        <v>0.61665855434103278</v>
      </c>
    </row>
    <row r="37" spans="1:10">
      <c r="A37" s="8">
        <v>41913</v>
      </c>
      <c r="B37">
        <v>16.646655529117179</v>
      </c>
      <c r="C37">
        <v>2.4942553251926509</v>
      </c>
      <c r="D37">
        <v>3.295097976616101</v>
      </c>
      <c r="E37">
        <v>3.0566666666666671</v>
      </c>
      <c r="F37">
        <v>0</v>
      </c>
      <c r="H37">
        <v>16.624052862456818</v>
      </c>
      <c r="I37">
        <f>B37-H37</f>
        <v>2.2602666660361592E-2</v>
      </c>
      <c r="J37">
        <f>E37-C37</f>
        <v>0.56241134147401617</v>
      </c>
    </row>
    <row r="38" spans="1:10">
      <c r="A38" s="8">
        <v>42005</v>
      </c>
      <c r="B38">
        <v>16.65214894163481</v>
      </c>
      <c r="C38">
        <v>1.977102127062347</v>
      </c>
      <c r="D38">
        <v>2.38217614567488</v>
      </c>
      <c r="E38">
        <v>3.0566666666666671</v>
      </c>
      <c r="F38">
        <v>0</v>
      </c>
      <c r="H38">
        <v>16.628206794012222</v>
      </c>
      <c r="I38">
        <f>B38-H38</f>
        <v>2.3942147622587839E-2</v>
      </c>
      <c r="J38">
        <f>E38-C38</f>
        <v>1.0795645396043201</v>
      </c>
    </row>
    <row r="39" spans="1:10">
      <c r="A39" s="8">
        <v>42095</v>
      </c>
      <c r="B39">
        <v>16.664210365322479</v>
      </c>
      <c r="C39">
        <v>2.4117936189585132</v>
      </c>
      <c r="D39">
        <v>2.3241231292181199</v>
      </c>
      <c r="E39">
        <v>3.0533333333333328</v>
      </c>
      <c r="F39">
        <v>0</v>
      </c>
      <c r="H39">
        <v>16.632360725567626</v>
      </c>
      <c r="I39">
        <f>B39-H39</f>
        <v>3.1849639754852888E-2</v>
      </c>
      <c r="J39">
        <f>E39-C39</f>
        <v>0.6415397143748196</v>
      </c>
    </row>
    <row r="40" spans="1:10">
      <c r="A40" s="8">
        <v>42186</v>
      </c>
      <c r="B40">
        <v>16.675838589061989</v>
      </c>
      <c r="C40">
        <v>2.454338646773579</v>
      </c>
      <c r="D40">
        <v>2.334372429496772</v>
      </c>
      <c r="E40">
        <v>3.083333333333333</v>
      </c>
      <c r="F40">
        <v>0</v>
      </c>
      <c r="H40">
        <v>16.63651465712303</v>
      </c>
      <c r="I40">
        <f>B40-H40</f>
        <v>3.9323931938959333E-2</v>
      </c>
      <c r="J40">
        <f>E40-C40</f>
        <v>0.62899468655975399</v>
      </c>
    </row>
    <row r="41" spans="1:10">
      <c r="A41" s="8">
        <v>42278</v>
      </c>
      <c r="B41">
        <v>16.673596125452612</v>
      </c>
      <c r="C41">
        <v>2.8073988714663272</v>
      </c>
      <c r="D41">
        <v>2.4126583160651909</v>
      </c>
      <c r="E41">
        <v>3.1166666666666671</v>
      </c>
      <c r="F41">
        <v>0</v>
      </c>
      <c r="H41">
        <v>16.64066858867843</v>
      </c>
      <c r="I41">
        <f>B41-H41</f>
        <v>3.2927536774181476E-2</v>
      </c>
      <c r="J41">
        <f>E41-C41</f>
        <v>0.30926779520033998</v>
      </c>
    </row>
    <row r="42" spans="1:10">
      <c r="A42" s="8">
        <v>42370</v>
      </c>
      <c r="B42">
        <v>16.679409436479549</v>
      </c>
      <c r="C42">
        <v>3.124455097783962</v>
      </c>
      <c r="D42">
        <v>2.699496558745595</v>
      </c>
      <c r="E42">
        <v>3.52</v>
      </c>
      <c r="F42">
        <v>0</v>
      </c>
      <c r="H42">
        <v>16.644822520233834</v>
      </c>
      <c r="I42">
        <f>B42-H42</f>
        <v>3.458691624571486E-2</v>
      </c>
      <c r="J42">
        <f>E42-C42</f>
        <v>0.395544902216038</v>
      </c>
    </row>
    <row r="43" spans="1:10">
      <c r="A43" s="8">
        <v>42461</v>
      </c>
      <c r="B43">
        <v>16.683739683887559</v>
      </c>
      <c r="C43">
        <v>3.2597647506319438</v>
      </c>
      <c r="D43">
        <v>2.911489341663954</v>
      </c>
      <c r="E43">
        <v>3.8</v>
      </c>
      <c r="F43">
        <v>0</v>
      </c>
      <c r="H43">
        <v>16.648976451789238</v>
      </c>
      <c r="I43">
        <f>B43-H43</f>
        <v>3.4763232098320884E-2</v>
      </c>
      <c r="J43">
        <f>E43-C43</f>
        <v>0.540235249368056</v>
      </c>
    </row>
    <row r="44" spans="1:10">
      <c r="A44" s="8">
        <v>42552</v>
      </c>
      <c r="B44">
        <v>16.692796175714729</v>
      </c>
      <c r="C44">
        <v>2.8092321945916821</v>
      </c>
      <c r="D44">
        <v>3.0002127286184792</v>
      </c>
      <c r="E44">
        <v>4.293333333333333</v>
      </c>
      <c r="F44">
        <v>0</v>
      </c>
      <c r="H44">
        <v>16.653130383344642</v>
      </c>
      <c r="I44">
        <f>B44-H44</f>
        <v>3.9665792370087161E-2</v>
      </c>
      <c r="J44">
        <f>E44-C44</f>
        <v>1.4841011387416509</v>
      </c>
    </row>
    <row r="45" spans="1:10">
      <c r="A45" s="8">
        <v>42644</v>
      </c>
      <c r="B45">
        <v>16.704530708406029</v>
      </c>
      <c r="C45">
        <v>3.9075190567076978</v>
      </c>
      <c r="D45">
        <v>3.275242774928822</v>
      </c>
      <c r="E45">
        <v>5.1133333333333333</v>
      </c>
      <c r="F45">
        <v>0</v>
      </c>
      <c r="H45">
        <v>16.657284314900043</v>
      </c>
      <c r="I45">
        <f>B45-H45</f>
        <v>4.7246393505986362E-2</v>
      </c>
      <c r="J45">
        <f>E45-C45</f>
        <v>1.2058142766256355</v>
      </c>
    </row>
    <row r="46" spans="1:10">
      <c r="A46" s="8">
        <v>42736</v>
      </c>
      <c r="B46">
        <v>16.709279627345971</v>
      </c>
      <c r="C46">
        <v>6.8064444936063229</v>
      </c>
      <c r="D46">
        <v>4.1957401238844119</v>
      </c>
      <c r="E46">
        <v>6.07</v>
      </c>
      <c r="F46">
        <v>0</v>
      </c>
      <c r="H46">
        <v>16.661438246455447</v>
      </c>
      <c r="I46">
        <f>B46-H46</f>
        <v>4.7841380890524476E-2</v>
      </c>
      <c r="J46">
        <f>E46-C46</f>
        <v>-0.73644449360632258</v>
      </c>
    </row>
    <row r="47" spans="1:10">
      <c r="A47" s="8">
        <v>42826</v>
      </c>
      <c r="B47">
        <v>16.712482050731989</v>
      </c>
      <c r="C47">
        <v>5.6132840318900312</v>
      </c>
      <c r="D47">
        <v>4.7841199441989328</v>
      </c>
      <c r="E47">
        <v>6.6866666666666674</v>
      </c>
      <c r="F47">
        <v>0</v>
      </c>
      <c r="H47">
        <v>16.665592178010851</v>
      </c>
      <c r="I47">
        <f>B47-H47</f>
        <v>4.6889872721138204E-2</v>
      </c>
      <c r="J47">
        <f>E47-C47</f>
        <v>1.0733826347766362</v>
      </c>
    </row>
    <row r="48" spans="1:10">
      <c r="A48" s="8">
        <v>42917</v>
      </c>
      <c r="B48">
        <v>16.708360498184032</v>
      </c>
      <c r="C48">
        <v>3.3432941732813188</v>
      </c>
      <c r="D48">
        <v>4.9176354388713426</v>
      </c>
      <c r="E48">
        <v>7.05</v>
      </c>
      <c r="F48">
        <v>0</v>
      </c>
      <c r="H48">
        <v>16.669746109566255</v>
      </c>
      <c r="I48">
        <f>B48-H48</f>
        <v>3.8614388617776996E-2</v>
      </c>
      <c r="J48">
        <f>E48-C48</f>
        <v>3.706705826718681</v>
      </c>
    </row>
    <row r="49" spans="1:10">
      <c r="A49" s="8">
        <v>43009</v>
      </c>
      <c r="B49">
        <v>16.722803480913981</v>
      </c>
      <c r="C49">
        <v>3.6057238689686022</v>
      </c>
      <c r="D49">
        <v>4.8421866419365696</v>
      </c>
      <c r="E49">
        <v>7.0966666666666667</v>
      </c>
      <c r="F49">
        <v>0</v>
      </c>
      <c r="H49">
        <v>16.673900041121655</v>
      </c>
      <c r="I49">
        <f>B49-H49</f>
        <v>4.8903439792326253E-2</v>
      </c>
      <c r="J49">
        <f>E49-C49</f>
        <v>3.4909427976980645</v>
      </c>
    </row>
    <row r="50" spans="1:10">
      <c r="A50" s="8">
        <v>43101</v>
      </c>
      <c r="B50">
        <v>16.734113970301131</v>
      </c>
      <c r="C50">
        <v>4.5314078871264929</v>
      </c>
      <c r="D50">
        <v>4.2734274903166112</v>
      </c>
      <c r="E50">
        <v>7.45</v>
      </c>
      <c r="F50">
        <v>0</v>
      </c>
      <c r="H50">
        <v>16.678053972677059</v>
      </c>
      <c r="I50">
        <f>B50-H50</f>
        <v>5.6059997624071656E-2</v>
      </c>
      <c r="J50">
        <f>E50-C50</f>
        <v>2.9185921128735073</v>
      </c>
    </row>
    <row r="51" spans="1:10">
      <c r="A51" s="8">
        <v>43191</v>
      </c>
      <c r="B51">
        <v>16.733409514259911</v>
      </c>
      <c r="C51">
        <v>3.1765357916665682</v>
      </c>
      <c r="D51">
        <v>3.6642404302607461</v>
      </c>
      <c r="E51">
        <v>7.586666666666666</v>
      </c>
      <c r="F51">
        <v>0</v>
      </c>
      <c r="H51">
        <v>16.682207904232463</v>
      </c>
      <c r="I51">
        <f>B51-H51</f>
        <v>5.1201610027447941E-2</v>
      </c>
      <c r="J51">
        <f>E51-C51</f>
        <v>4.4101308750000978</v>
      </c>
    </row>
    <row r="52" spans="1:10">
      <c r="A52" s="8">
        <v>43282</v>
      </c>
      <c r="B52">
        <v>16.736160320039929</v>
      </c>
      <c r="C52">
        <v>3.261325886763311</v>
      </c>
      <c r="D52">
        <v>3.6437483586312438</v>
      </c>
      <c r="E52">
        <v>7.8066666666666658</v>
      </c>
      <c r="F52">
        <v>0</v>
      </c>
      <c r="H52">
        <v>16.686361835787864</v>
      </c>
      <c r="I52">
        <f>B52-H52</f>
        <v>4.9798484252065123E-2</v>
      </c>
      <c r="J52">
        <f>E52-C52</f>
        <v>4.5453407799033547</v>
      </c>
    </row>
    <row r="53" spans="1:10">
      <c r="A53" s="8">
        <v>43374</v>
      </c>
      <c r="B53">
        <v>16.73568077115204</v>
      </c>
      <c r="C53">
        <v>3.7845504114656809</v>
      </c>
      <c r="D53">
        <v>3.688454994255514</v>
      </c>
      <c r="E53">
        <v>7.9766666666666666</v>
      </c>
      <c r="F53">
        <v>0</v>
      </c>
      <c r="H53">
        <v>16.690515767343268</v>
      </c>
      <c r="I53">
        <f>B53-H53</f>
        <v>4.5165003808772752E-2</v>
      </c>
      <c r="J53">
        <f>E53-C53</f>
        <v>4.1921162552009861</v>
      </c>
    </row>
    <row r="54" spans="1:10">
      <c r="A54" s="8">
        <v>43466</v>
      </c>
      <c r="B54">
        <v>16.73615411089564</v>
      </c>
      <c r="C54">
        <v>4.0597330518520316</v>
      </c>
      <c r="D54">
        <v>3.5705362854368978</v>
      </c>
      <c r="E54">
        <v>8.26</v>
      </c>
      <c r="F54">
        <v>0</v>
      </c>
      <c r="H54">
        <v>16.694669698898672</v>
      </c>
      <c r="I54">
        <f>B54-H54</f>
        <v>4.1484411996968618E-2</v>
      </c>
      <c r="J54">
        <f>E54-C54</f>
        <v>4.2002669481479682</v>
      </c>
    </row>
    <row r="55" spans="1:10">
      <c r="A55" s="8">
        <v>43556</v>
      </c>
      <c r="B55">
        <v>16.731897792917049</v>
      </c>
      <c r="C55">
        <v>4.2242758249635406</v>
      </c>
      <c r="D55">
        <v>3.832471293761142</v>
      </c>
      <c r="E55">
        <v>8.2766666666666655</v>
      </c>
      <c r="F55">
        <v>0</v>
      </c>
      <c r="H55">
        <v>16.698823630454076</v>
      </c>
      <c r="I55">
        <f>B55-H55</f>
        <v>3.3074162462973788E-2</v>
      </c>
      <c r="J55">
        <f>E55-C55</f>
        <v>4.0523908417031249</v>
      </c>
    </row>
    <row r="56" spans="1:10">
      <c r="A56" s="8">
        <v>43647</v>
      </c>
      <c r="B56">
        <v>16.734221896188519</v>
      </c>
      <c r="C56">
        <v>3.027869621785007</v>
      </c>
      <c r="D56">
        <v>3.774107227516565</v>
      </c>
      <c r="E56">
        <v>8.17</v>
      </c>
      <c r="F56">
        <v>0</v>
      </c>
      <c r="H56">
        <v>16.702977562009476</v>
      </c>
      <c r="I56">
        <f>B56-H56</f>
        <v>3.124433417904271E-2</v>
      </c>
      <c r="J56">
        <f>E56-C56</f>
        <v>5.1421303782149934</v>
      </c>
    </row>
    <row r="57" spans="1:10">
      <c r="A57" s="8">
        <v>43739</v>
      </c>
      <c r="B57">
        <v>16.729622247151781</v>
      </c>
      <c r="C57">
        <v>3.2476644597159381</v>
      </c>
      <c r="D57">
        <v>3.63988573957913</v>
      </c>
      <c r="E57">
        <v>7.666666666666667</v>
      </c>
      <c r="F57">
        <v>0</v>
      </c>
      <c r="H57">
        <v>16.70713149356488</v>
      </c>
      <c r="I57">
        <f>B57-H57</f>
        <v>2.249075358690078E-2</v>
      </c>
      <c r="J57">
        <f>E57-C57</f>
        <v>4.4190022069507293</v>
      </c>
    </row>
    <row r="58" spans="1:10">
      <c r="A58" s="8">
        <v>43831</v>
      </c>
      <c r="B58">
        <v>16.719693944674521</v>
      </c>
      <c r="C58">
        <v>4.1293504514592794</v>
      </c>
      <c r="D58">
        <v>3.657290089480941</v>
      </c>
      <c r="E58">
        <v>7.09</v>
      </c>
      <c r="F58">
        <v>6.8483516483516489</v>
      </c>
      <c r="H58">
        <v>16.711285425120284</v>
      </c>
      <c r="I58">
        <f>B58-H58</f>
        <v>8.4085195542371594E-3</v>
      </c>
      <c r="J58">
        <f>E58-C58</f>
        <v>2.9606495485407205</v>
      </c>
    </row>
    <row r="59" spans="1:10">
      <c r="A59" s="8">
        <v>43922</v>
      </c>
      <c r="B59">
        <v>16.52361695082103</v>
      </c>
      <c r="C59">
        <v>4.0603461599709068</v>
      </c>
      <c r="D59">
        <v>3.6163076732327819</v>
      </c>
      <c r="E59">
        <v>5.88</v>
      </c>
      <c r="F59">
        <v>78.817252747252752</v>
      </c>
      <c r="H59">
        <v>16.715439356675688</v>
      </c>
      <c r="I59">
        <f>B59-H59</f>
        <v>-0.19182240585465848</v>
      </c>
      <c r="J59">
        <f>E59-C59</f>
        <v>1.8196538400290931</v>
      </c>
    </row>
    <row r="60" spans="1:10">
      <c r="A60" s="8">
        <v>44013</v>
      </c>
      <c r="B60">
        <v>16.64729605960909</v>
      </c>
      <c r="C60">
        <v>4.3508674107114453</v>
      </c>
      <c r="D60">
        <v>3.9470571204643918</v>
      </c>
      <c r="E60">
        <v>4.7366666666666672</v>
      </c>
      <c r="F60">
        <v>71.667608695652177</v>
      </c>
      <c r="H60">
        <v>16.719593288231088</v>
      </c>
      <c r="I60">
        <f>B60-H60</f>
        <v>-7.2297228621998499E-2</v>
      </c>
      <c r="J60">
        <f>E60-C60</f>
        <v>0.38579925595522191</v>
      </c>
    </row>
    <row r="61" spans="1:10">
      <c r="A61" s="8">
        <v>44105</v>
      </c>
      <c r="B61">
        <v>16.68970402239114</v>
      </c>
      <c r="C61">
        <v>2.792809295424115</v>
      </c>
      <c r="D61">
        <v>3.8333433293914361</v>
      </c>
      <c r="E61">
        <v>4.2699999999999996</v>
      </c>
      <c r="F61">
        <v>71.920869565217387</v>
      </c>
      <c r="H61">
        <v>16.723747219786492</v>
      </c>
      <c r="I61">
        <f>B61-H61</f>
        <v>-3.4043197395352109E-2</v>
      </c>
      <c r="J61">
        <f>E61-C61</f>
        <v>1.4771907045758845</v>
      </c>
    </row>
    <row r="62" spans="1:10">
      <c r="A62" s="8">
        <v>44197</v>
      </c>
      <c r="B62">
        <v>16.693007816234481</v>
      </c>
      <c r="C62">
        <v>4.6562693088463947</v>
      </c>
      <c r="D62">
        <v>3.965073043738216</v>
      </c>
      <c r="E62">
        <v>4.1433333333333344</v>
      </c>
      <c r="F62">
        <v>61.87188888888889</v>
      </c>
      <c r="H62">
        <v>16.727901151341896</v>
      </c>
      <c r="I62">
        <f>B62-H62</f>
        <v>-3.4893335107415879E-2</v>
      </c>
      <c r="J62">
        <f>E62-C62</f>
        <v>-0.51293597551306025</v>
      </c>
    </row>
    <row r="63" spans="1:10">
      <c r="A63" s="8">
        <v>44287</v>
      </c>
      <c r="B63">
        <v>16.70052414759245</v>
      </c>
      <c r="C63">
        <v>5.7607679621090924</v>
      </c>
      <c r="D63">
        <v>4.390178494272762</v>
      </c>
      <c r="E63">
        <v>4.03</v>
      </c>
      <c r="F63">
        <v>44.776043956043956</v>
      </c>
      <c r="H63">
        <v>16.7320550828973</v>
      </c>
      <c r="I63">
        <f>B63-H63</f>
        <v>-3.1530935304850516E-2</v>
      </c>
      <c r="J63">
        <f>E63-C63</f>
        <v>-1.7307679621090921</v>
      </c>
    </row>
    <row r="64" spans="1:10">
      <c r="A64" s="8">
        <v>44378</v>
      </c>
      <c r="B64">
        <v>16.689447427692851</v>
      </c>
      <c r="C64">
        <v>6.067599416051328</v>
      </c>
      <c r="D64">
        <v>4.8193614956077324</v>
      </c>
      <c r="E64">
        <v>4.4233333333333329</v>
      </c>
      <c r="F64">
        <v>52.867282608695653</v>
      </c>
      <c r="H64">
        <v>16.736209014452701</v>
      </c>
      <c r="I64">
        <f>B64-H64</f>
        <v>-4.6761586759849649E-2</v>
      </c>
      <c r="J64">
        <f>E64-C64</f>
        <v>-1.6442660827179951</v>
      </c>
    </row>
    <row r="65" spans="1:10">
      <c r="A65" s="8">
        <v>44470</v>
      </c>
      <c r="B65">
        <v>16.701194975201279</v>
      </c>
      <c r="C65">
        <v>5.9720819992299168</v>
      </c>
      <c r="D65">
        <v>5.6141796715591834</v>
      </c>
      <c r="E65">
        <v>4.9666666666666668</v>
      </c>
      <c r="F65">
        <v>37.200217391304349</v>
      </c>
      <c r="H65">
        <v>16.740362946008105</v>
      </c>
      <c r="I65">
        <f>B65-H65</f>
        <v>-3.9167970806825991E-2</v>
      </c>
      <c r="J65">
        <f>E65-C65</f>
        <v>-1.00541533256325</v>
      </c>
    </row>
    <row r="66" spans="1:10">
      <c r="A66" s="8">
        <v>44562</v>
      </c>
      <c r="B66">
        <v>16.711318424522439</v>
      </c>
      <c r="C66">
        <v>8.4020551252795617</v>
      </c>
      <c r="D66">
        <v>6.550626125667474</v>
      </c>
      <c r="E66">
        <v>5.8</v>
      </c>
      <c r="F66">
        <v>37.88977777777778</v>
      </c>
      <c r="H66">
        <v>16.744516877563509</v>
      </c>
      <c r="I66">
        <f>B66-H66</f>
        <v>-3.3198453041070053E-2</v>
      </c>
      <c r="J66">
        <f>E66-C66</f>
        <v>-2.6020551252795618</v>
      </c>
    </row>
    <row r="67" spans="1:10">
      <c r="A67" s="8">
        <v>44652</v>
      </c>
      <c r="B67">
        <v>16.722300207234142</v>
      </c>
      <c r="C67">
        <v>9.0033835083508595</v>
      </c>
      <c r="D67">
        <v>7.3612800122279154</v>
      </c>
      <c r="E67">
        <v>6.8133333333333326</v>
      </c>
      <c r="F67">
        <v>24.86648351648352</v>
      </c>
      <c r="H67">
        <v>16.748670809118909</v>
      </c>
      <c r="I67">
        <f>B67-H67</f>
        <v>-2.6370601884767808E-2</v>
      </c>
      <c r="J67">
        <f>E67-C67</f>
        <v>-2.190050175017527</v>
      </c>
    </row>
    <row r="68" spans="1:10">
      <c r="A68" s="8">
        <v>44743</v>
      </c>
      <c r="B68">
        <v>16.73140836424453</v>
      </c>
      <c r="C68">
        <v>8.6741456725758503</v>
      </c>
      <c r="D68">
        <v>8.0129165763590464</v>
      </c>
      <c r="E68">
        <v>8.1666666666666661</v>
      </c>
      <c r="F68">
        <v>25.310217391304349</v>
      </c>
      <c r="H68">
        <v>16.752824740674313</v>
      </c>
      <c r="I68">
        <f>B68-H68</f>
        <v>-2.1416376429783668E-2</v>
      </c>
      <c r="J68">
        <f>E68-C68</f>
        <v>-0.50747900590918427</v>
      </c>
    </row>
    <row r="69" spans="1:10">
      <c r="A69" s="8">
        <v>44835</v>
      </c>
      <c r="B69">
        <v>16.737177328462721</v>
      </c>
      <c r="C69">
        <v>7.6949866910769549</v>
      </c>
      <c r="D69">
        <v>8.4436427493208068</v>
      </c>
      <c r="E69">
        <v>9.76</v>
      </c>
      <c r="F69">
        <v>13.89</v>
      </c>
      <c r="H69">
        <v>16.756978672229717</v>
      </c>
      <c r="I69">
        <f>B69-H69</f>
        <v>-1.9801343766996382E-2</v>
      </c>
      <c r="J69">
        <f>E69-C69</f>
        <v>2.0650133089230449</v>
      </c>
    </row>
    <row r="70" spans="1:10">
      <c r="A70" s="8">
        <v>44927</v>
      </c>
      <c r="B70">
        <v>16.747331708192188</v>
      </c>
      <c r="C70">
        <v>7.7558580000545394</v>
      </c>
      <c r="D70">
        <v>8.2820934680145513</v>
      </c>
      <c r="E70">
        <v>10.793333333333329</v>
      </c>
      <c r="F70">
        <v>11.112</v>
      </c>
      <c r="H70">
        <v>16.761132603785121</v>
      </c>
      <c r="I70">
        <f>B70-H70</f>
        <v>-1.380089559293296E-2</v>
      </c>
      <c r="J70">
        <f>E70-C70</f>
        <v>3.03747533327879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E269-D638-46D5-9552-3A5771A2D41F}">
  <sheetPr>
    <tabColor theme="5" tint="0.79998168889431442"/>
  </sheetPr>
  <dimension ref="A1:K57"/>
  <sheetViews>
    <sheetView topLeftCell="A34" workbookViewId="0">
      <selection activeCell="G30" sqref="G30"/>
    </sheetView>
  </sheetViews>
  <sheetFormatPr defaultRowHeight="15"/>
  <cols>
    <col min="1" max="1" width="15.625" bestFit="1" customWidth="1"/>
    <col min="4" max="4" width="17.375" bestFit="1" customWidth="1"/>
  </cols>
  <sheetData>
    <row r="1" spans="1:11">
      <c r="A1" s="10" t="s">
        <v>38</v>
      </c>
      <c r="B1" s="10" t="s">
        <v>54</v>
      </c>
      <c r="C1" s="10" t="s">
        <v>46</v>
      </c>
      <c r="D1" s="10" t="s">
        <v>53</v>
      </c>
      <c r="E1" s="10" t="s">
        <v>52</v>
      </c>
      <c r="F1" s="10" t="s">
        <v>51</v>
      </c>
      <c r="H1" s="9" t="s">
        <v>50</v>
      </c>
      <c r="I1" s="9" t="s">
        <v>49</v>
      </c>
      <c r="J1" s="9" t="s">
        <v>48</v>
      </c>
      <c r="K1">
        <f>CORREL(I2:I57, J2:J57)</f>
        <v>0.30940672027160077</v>
      </c>
    </row>
    <row r="2" spans="1:11" ht="13.5" customHeight="1">
      <c r="A2" s="8">
        <v>38718</v>
      </c>
      <c r="B2">
        <v>16.481314125229371</v>
      </c>
      <c r="C2">
        <v>3.3717526658161301</v>
      </c>
      <c r="D2">
        <v>3.120358308939347</v>
      </c>
      <c r="E2">
        <v>7.8033333333333337</v>
      </c>
      <c r="F2">
        <v>0</v>
      </c>
      <c r="H2" cm="1">
        <f t="array" ref="H2:H57">TREND(B2:B57)</f>
        <v>16.454288843484218</v>
      </c>
      <c r="I2">
        <f>B2-H2</f>
        <v>2.7025281745153507E-2</v>
      </c>
      <c r="J2">
        <f>E2-C2</f>
        <v>4.4315806675172036</v>
      </c>
    </row>
    <row r="3" spans="1:11" ht="13.5" customHeight="1">
      <c r="A3" s="8">
        <v>38808</v>
      </c>
      <c r="B3">
        <v>16.491020253161452</v>
      </c>
      <c r="C3">
        <v>3.69967348980067</v>
      </c>
      <c r="D3">
        <v>3.3160035047399901</v>
      </c>
      <c r="E3">
        <v>7.0766666666666671</v>
      </c>
      <c r="F3">
        <v>0</v>
      </c>
      <c r="H3">
        <v>16.459690680899936</v>
      </c>
      <c r="I3">
        <f>B3-H3</f>
        <v>3.1329572261515892E-2</v>
      </c>
      <c r="J3">
        <f>E3-C3</f>
        <v>3.3769931768659971</v>
      </c>
    </row>
    <row r="4" spans="1:11" ht="13.5" customHeight="1">
      <c r="A4" s="8">
        <v>38899</v>
      </c>
      <c r="B4">
        <v>16.493766986488239</v>
      </c>
      <c r="C4">
        <v>3.2615284516982261</v>
      </c>
      <c r="D4">
        <v>3.435945268513696</v>
      </c>
      <c r="E4">
        <v>7.0366666666666662</v>
      </c>
      <c r="F4">
        <v>0</v>
      </c>
      <c r="H4">
        <v>16.465092518315657</v>
      </c>
      <c r="I4">
        <f>B4-H4</f>
        <v>2.8674468172582124E-2</v>
      </c>
      <c r="J4">
        <f>E4-C4</f>
        <v>3.77513821496844</v>
      </c>
    </row>
    <row r="5" spans="1:11" ht="13.5" customHeight="1">
      <c r="A5" s="8">
        <v>38991</v>
      </c>
      <c r="B5">
        <v>16.496259994870421</v>
      </c>
      <c r="C5">
        <v>3.9067394823066648</v>
      </c>
      <c r="D5">
        <v>3.559923522405422</v>
      </c>
      <c r="E5">
        <v>7.043333333333333</v>
      </c>
      <c r="F5">
        <v>0</v>
      </c>
      <c r="H5">
        <v>16.470494355731375</v>
      </c>
      <c r="I5">
        <f>B5-H5</f>
        <v>2.5765639139045504E-2</v>
      </c>
      <c r="J5">
        <f>E5-C5</f>
        <v>3.1365938510266682</v>
      </c>
    </row>
    <row r="6" spans="1:11" ht="13.5" customHeight="1">
      <c r="A6" s="8">
        <v>39083</v>
      </c>
      <c r="B6">
        <v>16.503292981604741</v>
      </c>
      <c r="C6">
        <v>4.7536143220917593</v>
      </c>
      <c r="D6">
        <v>3.9053889364743299</v>
      </c>
      <c r="E6">
        <v>7.03</v>
      </c>
      <c r="F6">
        <v>0</v>
      </c>
      <c r="H6">
        <v>16.475896193147097</v>
      </c>
      <c r="I6">
        <f>B6-H6</f>
        <v>2.7396788457643595E-2</v>
      </c>
      <c r="J6">
        <f>E6-C6</f>
        <v>2.276385677908241</v>
      </c>
    </row>
    <row r="7" spans="1:11" ht="13.5" customHeight="1">
      <c r="A7" s="8">
        <v>39173</v>
      </c>
      <c r="B7">
        <v>16.51092463850695</v>
      </c>
      <c r="C7">
        <v>2.9995205353107619</v>
      </c>
      <c r="D7">
        <v>3.7303506978518528</v>
      </c>
      <c r="E7">
        <v>7.2066666666666661</v>
      </c>
      <c r="F7">
        <v>0</v>
      </c>
      <c r="H7">
        <v>16.481298030562815</v>
      </c>
      <c r="I7">
        <f>B7-H7</f>
        <v>2.962660794413452E-2</v>
      </c>
      <c r="J7">
        <f>E7-C7</f>
        <v>4.2071461313559038</v>
      </c>
    </row>
    <row r="8" spans="1:11" ht="13.5" customHeight="1">
      <c r="A8" s="8">
        <v>39264</v>
      </c>
      <c r="B8">
        <v>16.517198261236079</v>
      </c>
      <c r="C8">
        <v>3.6608431896063549</v>
      </c>
      <c r="D8">
        <v>3.8301793823288852</v>
      </c>
      <c r="E8">
        <v>7.2633333333333328</v>
      </c>
      <c r="F8">
        <v>0</v>
      </c>
      <c r="H8">
        <v>16.486699867978537</v>
      </c>
      <c r="I8">
        <f>B8-H8</f>
        <v>3.0498393257541778E-2</v>
      </c>
      <c r="J8">
        <f>E8-C8</f>
        <v>3.6024901437269778</v>
      </c>
    </row>
    <row r="9" spans="1:11" ht="13.5" customHeight="1">
      <c r="A9" s="8">
        <v>39356</v>
      </c>
      <c r="B9">
        <v>16.521125315780608</v>
      </c>
      <c r="C9">
        <v>4.1560008273135329</v>
      </c>
      <c r="D9">
        <v>3.8924947185806018</v>
      </c>
      <c r="E9">
        <v>7.4333333333333336</v>
      </c>
      <c r="F9">
        <v>0</v>
      </c>
      <c r="H9">
        <v>16.492101705394255</v>
      </c>
      <c r="I9">
        <f>B9-H9</f>
        <v>2.9023610386353482E-2</v>
      </c>
      <c r="J9">
        <f>E9-C9</f>
        <v>3.2773325060198006</v>
      </c>
    </row>
    <row r="10" spans="1:11" ht="13.5" customHeight="1">
      <c r="A10" s="8">
        <v>39448</v>
      </c>
      <c r="B10">
        <v>16.519310204913531</v>
      </c>
      <c r="C10">
        <v>4.9501587922693657</v>
      </c>
      <c r="D10">
        <v>3.9416308361250039</v>
      </c>
      <c r="E10">
        <v>7.5066666666666668</v>
      </c>
      <c r="F10">
        <v>0</v>
      </c>
      <c r="H10">
        <v>16.497503542809977</v>
      </c>
      <c r="I10">
        <f>B10-H10</f>
        <v>2.1806662103553975E-2</v>
      </c>
      <c r="J10">
        <f>E10-C10</f>
        <v>2.5565078743973011</v>
      </c>
    </row>
    <row r="11" spans="1:11" ht="13.5" customHeight="1">
      <c r="A11" s="8">
        <v>39539</v>
      </c>
      <c r="B11">
        <v>16.526648706445709</v>
      </c>
      <c r="C11">
        <v>5.4797323314526034</v>
      </c>
      <c r="D11">
        <v>4.5616837851604641</v>
      </c>
      <c r="E11">
        <v>7.5333333333333341</v>
      </c>
      <c r="F11">
        <v>0</v>
      </c>
      <c r="H11">
        <v>16.502905380225695</v>
      </c>
      <c r="I11">
        <f>B11-H11</f>
        <v>2.3743326220014183E-2</v>
      </c>
      <c r="J11">
        <f>E11-C11</f>
        <v>2.0536010018807307</v>
      </c>
    </row>
    <row r="12" spans="1:11" ht="13.5" customHeight="1">
      <c r="A12" s="8">
        <v>39630</v>
      </c>
      <c r="B12">
        <v>16.52995876808696</v>
      </c>
      <c r="C12">
        <v>5.4937591115338247</v>
      </c>
      <c r="D12">
        <v>5.0199127656423306</v>
      </c>
      <c r="E12">
        <v>8.0766666666666662</v>
      </c>
      <c r="F12">
        <v>0</v>
      </c>
      <c r="H12">
        <v>16.508307217641416</v>
      </c>
      <c r="I12">
        <f>B12-H12</f>
        <v>2.1651550445543677E-2</v>
      </c>
      <c r="J12">
        <f>E12-C12</f>
        <v>2.5829075551328415</v>
      </c>
    </row>
    <row r="13" spans="1:11" ht="13.5" customHeight="1">
      <c r="A13" s="8">
        <v>39722</v>
      </c>
      <c r="B13">
        <v>16.513496436583189</v>
      </c>
      <c r="C13">
        <v>5.3670875063546184</v>
      </c>
      <c r="D13">
        <v>5.3226844354026026</v>
      </c>
      <c r="E13">
        <v>7.9766666666666666</v>
      </c>
      <c r="F13">
        <v>0</v>
      </c>
      <c r="H13">
        <v>16.513709055057134</v>
      </c>
      <c r="I13">
        <f>B13-H13</f>
        <v>-2.1261847394526967E-4</v>
      </c>
      <c r="J13">
        <f>E13-C13</f>
        <v>2.6095791603120482</v>
      </c>
    </row>
    <row r="14" spans="1:11" ht="13.5" customHeight="1">
      <c r="A14" s="8">
        <v>39814</v>
      </c>
      <c r="B14">
        <v>16.461015265640199</v>
      </c>
      <c r="C14">
        <v>5.9984268631781523</v>
      </c>
      <c r="D14">
        <v>5.5847514531297993</v>
      </c>
      <c r="E14">
        <v>7.63</v>
      </c>
      <c r="F14">
        <v>0</v>
      </c>
      <c r="H14">
        <v>16.519110892472856</v>
      </c>
      <c r="I14">
        <f>B14-H14</f>
        <v>-5.8095626832656677E-2</v>
      </c>
      <c r="J14">
        <f>E14-C14</f>
        <v>1.6315731368218476</v>
      </c>
    </row>
    <row r="15" spans="1:11" ht="13.5" customHeight="1">
      <c r="A15" s="8">
        <v>39904</v>
      </c>
      <c r="B15">
        <v>16.445916003450868</v>
      </c>
      <c r="C15">
        <v>4.652897192632488</v>
      </c>
      <c r="D15">
        <v>5.3780426684247704</v>
      </c>
      <c r="E15">
        <v>5.6766666666666667</v>
      </c>
      <c r="F15">
        <v>0</v>
      </c>
      <c r="H15">
        <v>16.524512729888574</v>
      </c>
      <c r="I15">
        <f>B15-H15</f>
        <v>-7.8596726437705655E-2</v>
      </c>
      <c r="J15">
        <f>E15-C15</f>
        <v>1.0237694740341787</v>
      </c>
    </row>
    <row r="16" spans="1:11" ht="13.5" customHeight="1">
      <c r="A16" s="8">
        <v>39995</v>
      </c>
      <c r="B16">
        <v>16.478483327169052</v>
      </c>
      <c r="C16">
        <v>3.1513199882166938</v>
      </c>
      <c r="D16">
        <v>4.7924328875954876</v>
      </c>
      <c r="E16">
        <v>4.55</v>
      </c>
      <c r="F16">
        <v>0</v>
      </c>
      <c r="H16">
        <v>16.529914567304296</v>
      </c>
      <c r="I16">
        <f>B16-H16</f>
        <v>-5.1431240135244138E-2</v>
      </c>
      <c r="J16">
        <f>E16-C16</f>
        <v>1.398680011783306</v>
      </c>
    </row>
    <row r="17" spans="1:10" ht="13.5" customHeight="1">
      <c r="A17" s="8">
        <v>40087</v>
      </c>
      <c r="B17">
        <v>16.49491699544938</v>
      </c>
      <c r="C17">
        <v>3.6043345944380518</v>
      </c>
      <c r="D17">
        <v>4.3517446596163456</v>
      </c>
      <c r="E17">
        <v>4.5633333333333326</v>
      </c>
      <c r="F17">
        <v>0</v>
      </c>
      <c r="H17">
        <v>16.535316404720014</v>
      </c>
      <c r="I17">
        <f>B17-H17</f>
        <v>-4.0399409270634123E-2</v>
      </c>
      <c r="J17">
        <f>E17-C17</f>
        <v>0.95899873889528076</v>
      </c>
    </row>
    <row r="18" spans="1:10" ht="13.5" customHeight="1">
      <c r="A18" s="8">
        <v>40179</v>
      </c>
      <c r="B18">
        <v>16.50541402522169</v>
      </c>
      <c r="C18">
        <v>6.1658753221655038</v>
      </c>
      <c r="D18">
        <v>4.3936067743631844</v>
      </c>
      <c r="E18">
        <v>4.5933333333333328</v>
      </c>
      <c r="F18">
        <v>0</v>
      </c>
      <c r="H18">
        <v>16.540718242135735</v>
      </c>
      <c r="I18">
        <f>B18-H18</f>
        <v>-3.5304216914045838E-2</v>
      </c>
      <c r="J18">
        <f>E18-C18</f>
        <v>-1.572541988832171</v>
      </c>
    </row>
    <row r="19" spans="1:10" ht="13.5" customHeight="1">
      <c r="A19" s="8">
        <v>40269</v>
      </c>
      <c r="B19">
        <v>16.516236515492409</v>
      </c>
      <c r="C19">
        <v>2.7519030100945141</v>
      </c>
      <c r="D19">
        <v>3.9183582287286911</v>
      </c>
      <c r="E19">
        <v>4.5966666666666667</v>
      </c>
      <c r="F19">
        <v>0</v>
      </c>
      <c r="H19">
        <v>16.546120079551454</v>
      </c>
      <c r="I19">
        <f>B19-H19</f>
        <v>-2.9883564059044687E-2</v>
      </c>
      <c r="J19">
        <f>E19-C19</f>
        <v>1.8447636565721526</v>
      </c>
    </row>
    <row r="20" spans="1:10" ht="13.5" customHeight="1">
      <c r="A20" s="8">
        <v>40360</v>
      </c>
      <c r="B20">
        <v>16.52571258223351</v>
      </c>
      <c r="C20">
        <v>2.2903256690671951</v>
      </c>
      <c r="D20">
        <v>3.7031096489413158</v>
      </c>
      <c r="E20">
        <v>4.59</v>
      </c>
      <c r="F20">
        <v>0</v>
      </c>
      <c r="H20">
        <v>16.551521916967175</v>
      </c>
      <c r="I20">
        <f>B20-H20</f>
        <v>-2.5809334733665423E-2</v>
      </c>
      <c r="J20">
        <f>E20-C20</f>
        <v>2.2996743309328047</v>
      </c>
    </row>
    <row r="21" spans="1:10" ht="13.5" customHeight="1">
      <c r="A21" s="8">
        <v>40452</v>
      </c>
      <c r="B21">
        <v>16.533371060313989</v>
      </c>
      <c r="C21">
        <v>3.1103019143184918</v>
      </c>
      <c r="D21">
        <v>3.5796014789114259</v>
      </c>
      <c r="E21">
        <v>4.5633333333333326</v>
      </c>
      <c r="F21">
        <v>0</v>
      </c>
      <c r="H21">
        <v>16.556923754382893</v>
      </c>
      <c r="I21">
        <f>B21-H21</f>
        <v>-2.3552694068904145E-2</v>
      </c>
      <c r="J21">
        <f>E21-C21</f>
        <v>1.4530314190148408</v>
      </c>
    </row>
    <row r="22" spans="1:10" ht="13.5" customHeight="1">
      <c r="A22" s="8">
        <v>40544</v>
      </c>
      <c r="B22">
        <v>16.541005438653031</v>
      </c>
      <c r="C22">
        <v>4.8789384281731962</v>
      </c>
      <c r="D22">
        <v>3.2578672554133492</v>
      </c>
      <c r="E22">
        <v>4.5199999999999996</v>
      </c>
      <c r="F22">
        <v>0</v>
      </c>
      <c r="H22">
        <v>16.562325591798615</v>
      </c>
      <c r="I22">
        <f>B22-H22</f>
        <v>-2.1320153145584442E-2</v>
      </c>
      <c r="J22">
        <f>E22-C22</f>
        <v>-0.35893842817319666</v>
      </c>
    </row>
    <row r="23" spans="1:10" ht="13.5" customHeight="1">
      <c r="A23" s="8">
        <v>40634</v>
      </c>
      <c r="B23">
        <v>16.54626711417399</v>
      </c>
      <c r="C23">
        <v>2.4110291956751069</v>
      </c>
      <c r="D23">
        <v>3.172648801808498</v>
      </c>
      <c r="E23">
        <v>4.4866666666666672</v>
      </c>
      <c r="F23">
        <v>0</v>
      </c>
      <c r="H23">
        <v>16.567727429214333</v>
      </c>
      <c r="I23">
        <f>B23-H23</f>
        <v>-2.1460315040343403E-2</v>
      </c>
      <c r="J23">
        <f>E23-C23</f>
        <v>2.0756374709915604</v>
      </c>
    </row>
    <row r="24" spans="1:10" ht="13.5" customHeight="1">
      <c r="A24" s="8">
        <v>40725</v>
      </c>
      <c r="B24">
        <v>16.56554148040345</v>
      </c>
      <c r="C24">
        <v>2.3311584027341898</v>
      </c>
      <c r="D24">
        <v>3.182856985225246</v>
      </c>
      <c r="E24">
        <v>4.4266666666666667</v>
      </c>
      <c r="F24">
        <v>0</v>
      </c>
      <c r="H24">
        <v>16.573129266630055</v>
      </c>
      <c r="I24">
        <f>B24-H24</f>
        <v>-7.5877862266047202E-3</v>
      </c>
      <c r="J24">
        <f>E24-C24</f>
        <v>2.0955082639324769</v>
      </c>
    </row>
    <row r="25" spans="1:10" ht="13.5" customHeight="1">
      <c r="A25" s="8">
        <v>40817</v>
      </c>
      <c r="B25">
        <v>16.57203442871236</v>
      </c>
      <c r="C25">
        <v>3.5098124862678941</v>
      </c>
      <c r="D25">
        <v>3.2827346282125971</v>
      </c>
      <c r="E25">
        <v>4.4266666666666667</v>
      </c>
      <c r="F25">
        <v>0</v>
      </c>
      <c r="H25">
        <v>16.578531104045773</v>
      </c>
      <c r="I25">
        <f>B25-H25</f>
        <v>-6.4966753334125826E-3</v>
      </c>
      <c r="J25">
        <f>E25-C25</f>
        <v>0.91685418039877264</v>
      </c>
    </row>
    <row r="26" spans="1:10" ht="13.5" customHeight="1">
      <c r="A26" s="8">
        <v>40909</v>
      </c>
      <c r="B26">
        <v>16.578610718344169</v>
      </c>
      <c r="C26">
        <v>5.1707672369560642</v>
      </c>
      <c r="D26">
        <v>3.3556918304083139</v>
      </c>
      <c r="E26">
        <v>4.4933333333333332</v>
      </c>
      <c r="F26">
        <v>0</v>
      </c>
      <c r="H26">
        <v>16.583932941461494</v>
      </c>
      <c r="I26">
        <f>B26-H26</f>
        <v>-5.3222231173251089E-3</v>
      </c>
      <c r="J26">
        <f>E26-C26</f>
        <v>-0.67743390362273104</v>
      </c>
    </row>
    <row r="27" spans="1:10" ht="13.5" customHeight="1">
      <c r="A27" s="8">
        <v>41000</v>
      </c>
      <c r="B27">
        <v>16.587392286592959</v>
      </c>
      <c r="C27">
        <v>2.8624008384040782</v>
      </c>
      <c r="D27">
        <v>3.468534741090556</v>
      </c>
      <c r="E27">
        <v>4.4933333333333332</v>
      </c>
      <c r="F27">
        <v>0</v>
      </c>
      <c r="H27">
        <v>16.589334778877213</v>
      </c>
      <c r="I27">
        <f>B27-H27</f>
        <v>-1.9424922842539161E-3</v>
      </c>
      <c r="J27">
        <f>E27-C27</f>
        <v>1.630932494929255</v>
      </c>
    </row>
    <row r="28" spans="1:10" ht="13.5" customHeight="1">
      <c r="A28" s="8">
        <v>41091</v>
      </c>
      <c r="B28">
        <v>16.592737021736241</v>
      </c>
      <c r="C28">
        <v>3.0548913384645271</v>
      </c>
      <c r="D28">
        <v>3.64946797502314</v>
      </c>
      <c r="E28">
        <v>4.49</v>
      </c>
      <c r="F28">
        <v>0</v>
      </c>
      <c r="H28">
        <v>16.594736616292934</v>
      </c>
      <c r="I28">
        <f>B28-H28</f>
        <v>-1.999594556693296E-3</v>
      </c>
      <c r="J28">
        <f>E28-C28</f>
        <v>1.4351086615354731</v>
      </c>
    </row>
    <row r="29" spans="1:10" ht="13.5" customHeight="1">
      <c r="A29" s="8">
        <v>41183</v>
      </c>
      <c r="B29">
        <v>16.601319148902299</v>
      </c>
      <c r="C29">
        <v>2.0041130546772261</v>
      </c>
      <c r="D29">
        <v>3.2730431171254741</v>
      </c>
      <c r="E29">
        <v>4.503333333333333</v>
      </c>
      <c r="F29">
        <v>0</v>
      </c>
      <c r="H29">
        <v>16.600138453708652</v>
      </c>
      <c r="I29">
        <f>B29-H29</f>
        <v>1.1806951936463861E-3</v>
      </c>
      <c r="J29">
        <f>E29-C29</f>
        <v>2.4992202786561069</v>
      </c>
    </row>
    <row r="30" spans="1:10" ht="13.5" customHeight="1">
      <c r="A30" s="8">
        <v>41275</v>
      </c>
      <c r="B30">
        <v>16.60389349237083</v>
      </c>
      <c r="C30">
        <v>3.8949479744332161</v>
      </c>
      <c r="D30">
        <v>2.9540883014947621</v>
      </c>
      <c r="E30">
        <v>4.3766666666666669</v>
      </c>
      <c r="F30">
        <v>0</v>
      </c>
      <c r="H30">
        <v>16.605540291124374</v>
      </c>
      <c r="I30">
        <f>B30-H30</f>
        <v>-1.6467987535442319E-3</v>
      </c>
      <c r="J30">
        <f>E30-C30</f>
        <v>0.48171869223345087</v>
      </c>
    </row>
    <row r="31" spans="1:10" ht="13.5" customHeight="1">
      <c r="A31" s="8">
        <v>41365</v>
      </c>
      <c r="B31">
        <v>16.598592390705889</v>
      </c>
      <c r="C31">
        <v>2.5326502966600768</v>
      </c>
      <c r="D31">
        <v>2.8716506660587622</v>
      </c>
      <c r="E31">
        <v>4.0199999999999996</v>
      </c>
      <c r="F31">
        <v>0</v>
      </c>
      <c r="H31">
        <v>16.610942128540092</v>
      </c>
      <c r="I31">
        <f>B31-H31</f>
        <v>-1.2349737834203012E-2</v>
      </c>
      <c r="J31">
        <f>E31-C31</f>
        <v>1.4873497033399228</v>
      </c>
    </row>
    <row r="32" spans="1:10" ht="13.5" customHeight="1">
      <c r="A32" s="8">
        <v>41456</v>
      </c>
      <c r="B32">
        <v>16.607245000607669</v>
      </c>
      <c r="C32">
        <v>1.408782329191016</v>
      </c>
      <c r="D32">
        <v>2.460123413740384</v>
      </c>
      <c r="E32">
        <v>3.9466666666666672</v>
      </c>
      <c r="F32">
        <v>0</v>
      </c>
      <c r="H32">
        <v>16.616343965955814</v>
      </c>
      <c r="I32">
        <f>B32-H32</f>
        <v>-9.0989653481443611E-3</v>
      </c>
      <c r="J32">
        <f>E32-C32</f>
        <v>2.537884337475651</v>
      </c>
    </row>
    <row r="33" spans="1:10" ht="13.5" customHeight="1">
      <c r="A33" s="8">
        <v>41548</v>
      </c>
      <c r="B33">
        <v>16.613143855238619</v>
      </c>
      <c r="C33">
        <v>2.576328723736343</v>
      </c>
      <c r="D33">
        <v>2.6031773310051629</v>
      </c>
      <c r="E33">
        <v>3.6366666666666672</v>
      </c>
      <c r="F33">
        <v>0</v>
      </c>
      <c r="H33">
        <v>16.621745803371532</v>
      </c>
      <c r="I33">
        <f>B33-H33</f>
        <v>-8.6019481329131509E-3</v>
      </c>
      <c r="J33">
        <f>E33-C33</f>
        <v>1.0603379429303241</v>
      </c>
    </row>
    <row r="34" spans="1:10" ht="13.5" customHeight="1">
      <c r="A34" s="8">
        <v>41640</v>
      </c>
      <c r="B34">
        <v>16.62004469823054</v>
      </c>
      <c r="C34">
        <v>5.6287894508272318</v>
      </c>
      <c r="D34">
        <v>3.0366377001036668</v>
      </c>
      <c r="E34">
        <v>3.51</v>
      </c>
      <c r="F34">
        <v>0</v>
      </c>
      <c r="H34">
        <v>16.627147640787253</v>
      </c>
      <c r="I34">
        <f>B34-H34</f>
        <v>-7.1029425567132876E-3</v>
      </c>
      <c r="J34">
        <f>E34-C34</f>
        <v>-2.118789450827232</v>
      </c>
    </row>
    <row r="35" spans="1:10" ht="13.5" customHeight="1">
      <c r="A35" s="8">
        <v>41730</v>
      </c>
      <c r="B35">
        <v>16.633112553033271</v>
      </c>
      <c r="C35">
        <v>2.6440056847855549</v>
      </c>
      <c r="D35">
        <v>3.0644765471350368</v>
      </c>
      <c r="E35">
        <v>3.4033333333333329</v>
      </c>
      <c r="F35">
        <v>0</v>
      </c>
      <c r="H35">
        <v>16.632549478202971</v>
      </c>
      <c r="I35">
        <f>B35-H35</f>
        <v>5.6307483029982563E-4</v>
      </c>
      <c r="J35">
        <f>E35-C35</f>
        <v>0.75932764854777801</v>
      </c>
    </row>
    <row r="36" spans="1:10" ht="13.5" customHeight="1">
      <c r="A36" s="8">
        <v>41821</v>
      </c>
      <c r="B36">
        <v>16.635570944582149</v>
      </c>
      <c r="C36">
        <v>2.413341445658967</v>
      </c>
      <c r="D36">
        <v>3.3156163262520248</v>
      </c>
      <c r="E36">
        <v>3.03</v>
      </c>
      <c r="F36">
        <v>0</v>
      </c>
      <c r="H36">
        <v>16.637951315618693</v>
      </c>
      <c r="I36">
        <f>B36-H36</f>
        <v>-2.3803710365442043E-3</v>
      </c>
      <c r="J36">
        <f>E36-C36</f>
        <v>0.61665855434103278</v>
      </c>
    </row>
    <row r="37" spans="1:10" ht="13.5" customHeight="1">
      <c r="A37" s="8">
        <v>41913</v>
      </c>
      <c r="B37">
        <v>16.646655529117179</v>
      </c>
      <c r="C37">
        <v>2.4942553251926509</v>
      </c>
      <c r="D37">
        <v>3.295097976616101</v>
      </c>
      <c r="E37">
        <v>3.0566666666666671</v>
      </c>
      <c r="F37">
        <v>0</v>
      </c>
      <c r="H37">
        <v>16.643353153034411</v>
      </c>
      <c r="I37">
        <f>B37-H37</f>
        <v>3.302376082768177E-3</v>
      </c>
      <c r="J37">
        <f>E37-C37</f>
        <v>0.56241134147401617</v>
      </c>
    </row>
    <row r="38" spans="1:10">
      <c r="A38" s="8">
        <v>42005</v>
      </c>
      <c r="B38">
        <v>16.65214894163481</v>
      </c>
      <c r="C38">
        <v>1.977102127062347</v>
      </c>
      <c r="D38">
        <v>2.38217614567488</v>
      </c>
      <c r="E38">
        <v>3.0566666666666671</v>
      </c>
      <c r="F38">
        <v>0</v>
      </c>
      <c r="H38">
        <v>16.648754990450133</v>
      </c>
      <c r="I38">
        <f>B38-H38</f>
        <v>3.39395118467678E-3</v>
      </c>
      <c r="J38">
        <f>E38-C38</f>
        <v>1.0795645396043201</v>
      </c>
    </row>
    <row r="39" spans="1:10">
      <c r="A39" s="8">
        <v>42095</v>
      </c>
      <c r="B39">
        <v>16.664210365322479</v>
      </c>
      <c r="C39">
        <v>2.4117936189585132</v>
      </c>
      <c r="D39">
        <v>2.3241231292181199</v>
      </c>
      <c r="E39">
        <v>3.0533333333333328</v>
      </c>
      <c r="F39">
        <v>0</v>
      </c>
      <c r="H39">
        <v>16.654156827865851</v>
      </c>
      <c r="I39">
        <f>B39-H39</f>
        <v>1.0053537456627737E-2</v>
      </c>
      <c r="J39">
        <f>E39-C39</f>
        <v>0.6415397143748196</v>
      </c>
    </row>
    <row r="40" spans="1:10">
      <c r="A40" s="8">
        <v>42186</v>
      </c>
      <c r="B40">
        <v>16.675838589061989</v>
      </c>
      <c r="C40">
        <v>2.454338646773579</v>
      </c>
      <c r="D40">
        <v>2.334372429496772</v>
      </c>
      <c r="E40">
        <v>3.083333333333333</v>
      </c>
      <c r="F40">
        <v>0</v>
      </c>
      <c r="H40">
        <v>16.659558665281573</v>
      </c>
      <c r="I40">
        <f>B40-H40</f>
        <v>1.6279923780416539E-2</v>
      </c>
      <c r="J40">
        <f>E40-C40</f>
        <v>0.62899468655975399</v>
      </c>
    </row>
    <row r="41" spans="1:10">
      <c r="A41" s="8">
        <v>42278</v>
      </c>
      <c r="B41">
        <v>16.673596125452612</v>
      </c>
      <c r="C41">
        <v>2.8073988714663272</v>
      </c>
      <c r="D41">
        <v>2.4126583160651909</v>
      </c>
      <c r="E41">
        <v>3.1166666666666671</v>
      </c>
      <c r="F41">
        <v>0</v>
      </c>
      <c r="H41">
        <v>16.664960502697291</v>
      </c>
      <c r="I41">
        <f>B41-H41</f>
        <v>8.6356227553210374E-3</v>
      </c>
      <c r="J41">
        <f>E41-C41</f>
        <v>0.30926779520033998</v>
      </c>
    </row>
    <row r="42" spans="1:10">
      <c r="A42" s="8">
        <v>42370</v>
      </c>
      <c r="B42">
        <v>16.679409436479549</v>
      </c>
      <c r="C42">
        <v>3.124455097783962</v>
      </c>
      <c r="D42">
        <v>2.699496558745595</v>
      </c>
      <c r="E42">
        <v>3.52</v>
      </c>
      <c r="F42">
        <v>0</v>
      </c>
      <c r="H42">
        <v>16.670362340113012</v>
      </c>
      <c r="I42">
        <f>B42-H42</f>
        <v>9.0470963665367776E-3</v>
      </c>
      <c r="J42">
        <f>E42-C42</f>
        <v>0.395544902216038</v>
      </c>
    </row>
    <row r="43" spans="1:10">
      <c r="A43" s="8">
        <v>42461</v>
      </c>
      <c r="B43">
        <v>16.683739683887559</v>
      </c>
      <c r="C43">
        <v>3.2597647506319438</v>
      </c>
      <c r="D43">
        <v>2.911489341663954</v>
      </c>
      <c r="E43">
        <v>3.8</v>
      </c>
      <c r="F43">
        <v>0</v>
      </c>
      <c r="H43">
        <v>16.67576417752873</v>
      </c>
      <c r="I43">
        <f>B43-H43</f>
        <v>7.9755063588287101E-3</v>
      </c>
      <c r="J43">
        <f>E43-C43</f>
        <v>0.540235249368056</v>
      </c>
    </row>
    <row r="44" spans="1:10">
      <c r="A44" s="8">
        <v>42552</v>
      </c>
      <c r="B44">
        <v>16.692796175714729</v>
      </c>
      <c r="C44">
        <v>2.8092321945916821</v>
      </c>
      <c r="D44">
        <v>3.0002127286184792</v>
      </c>
      <c r="E44">
        <v>4.293333333333333</v>
      </c>
      <c r="F44">
        <v>0</v>
      </c>
      <c r="H44">
        <v>16.681166014944452</v>
      </c>
      <c r="I44">
        <f>B44-H44</f>
        <v>1.1630160770277342E-2</v>
      </c>
      <c r="J44">
        <f>E44-C44</f>
        <v>1.4841011387416509</v>
      </c>
    </row>
    <row r="45" spans="1:10">
      <c r="A45" s="8">
        <v>42644</v>
      </c>
      <c r="B45">
        <v>16.704530708406029</v>
      </c>
      <c r="C45">
        <v>3.9075190567076978</v>
      </c>
      <c r="D45">
        <v>3.275242774928822</v>
      </c>
      <c r="E45">
        <v>5.1133333333333333</v>
      </c>
      <c r="F45">
        <v>0</v>
      </c>
      <c r="H45">
        <v>16.68656785236017</v>
      </c>
      <c r="I45">
        <f>B45-H45</f>
        <v>1.7962856045858899E-2</v>
      </c>
      <c r="J45">
        <f>E45-C45</f>
        <v>1.2058142766256355</v>
      </c>
    </row>
    <row r="46" spans="1:10">
      <c r="A46" s="8">
        <v>42736</v>
      </c>
      <c r="B46">
        <v>16.709279627345971</v>
      </c>
      <c r="C46">
        <v>6.8064444936063229</v>
      </c>
      <c r="D46">
        <v>4.1957401238844119</v>
      </c>
      <c r="E46">
        <v>6.07</v>
      </c>
      <c r="F46">
        <v>0</v>
      </c>
      <c r="H46">
        <v>16.691969689775892</v>
      </c>
      <c r="I46">
        <f>B46-H46</f>
        <v>1.730993757007937E-2</v>
      </c>
      <c r="J46">
        <f>E46-C46</f>
        <v>-0.73644449360632258</v>
      </c>
    </row>
    <row r="47" spans="1:10">
      <c r="A47" s="8">
        <v>42826</v>
      </c>
      <c r="B47">
        <v>16.712482050731989</v>
      </c>
      <c r="C47">
        <v>5.6132840318900312</v>
      </c>
      <c r="D47">
        <v>4.7841199441989328</v>
      </c>
      <c r="E47">
        <v>6.6866666666666674</v>
      </c>
      <c r="F47">
        <v>0</v>
      </c>
      <c r="H47">
        <v>16.69737152719161</v>
      </c>
      <c r="I47">
        <f>B47-H47</f>
        <v>1.5110523540379006E-2</v>
      </c>
      <c r="J47">
        <f>E47-C47</f>
        <v>1.0733826347766362</v>
      </c>
    </row>
    <row r="48" spans="1:10">
      <c r="A48" s="8">
        <v>42917</v>
      </c>
      <c r="B48">
        <v>16.708360498184032</v>
      </c>
      <c r="C48">
        <v>3.3432941732813188</v>
      </c>
      <c r="D48">
        <v>4.9176354388713426</v>
      </c>
      <c r="E48">
        <v>7.05</v>
      </c>
      <c r="F48">
        <v>0</v>
      </c>
      <c r="H48">
        <v>16.702773364607332</v>
      </c>
      <c r="I48">
        <f>B48-H48</f>
        <v>5.587133576700154E-3</v>
      </c>
      <c r="J48">
        <f>E48-C48</f>
        <v>3.706705826718681</v>
      </c>
    </row>
    <row r="49" spans="1:10">
      <c r="A49" s="8">
        <v>43009</v>
      </c>
      <c r="B49">
        <v>16.722803480913981</v>
      </c>
      <c r="C49">
        <v>3.6057238689686022</v>
      </c>
      <c r="D49">
        <v>4.8421866419365696</v>
      </c>
      <c r="E49">
        <v>7.0966666666666667</v>
      </c>
      <c r="F49">
        <v>0</v>
      </c>
      <c r="H49">
        <v>16.70817520202305</v>
      </c>
      <c r="I49">
        <f>B49-H49</f>
        <v>1.4628278890931767E-2</v>
      </c>
      <c r="J49">
        <f>E49-C49</f>
        <v>3.4909427976980645</v>
      </c>
    </row>
    <row r="50" spans="1:10">
      <c r="A50" s="8">
        <v>43101</v>
      </c>
      <c r="B50">
        <v>16.734113970301131</v>
      </c>
      <c r="C50">
        <v>4.5314078871264929</v>
      </c>
      <c r="D50">
        <v>4.2734274903166112</v>
      </c>
      <c r="E50">
        <v>7.45</v>
      </c>
      <c r="F50">
        <v>0</v>
      </c>
      <c r="H50">
        <v>16.713577039438771</v>
      </c>
      <c r="I50">
        <f>B50-H50</f>
        <v>2.0536930862359526E-2</v>
      </c>
      <c r="J50">
        <f>E50-C50</f>
        <v>2.9185921128735073</v>
      </c>
    </row>
    <row r="51" spans="1:10">
      <c r="A51" s="8">
        <v>43191</v>
      </c>
      <c r="B51">
        <v>16.733409514259911</v>
      </c>
      <c r="C51">
        <v>3.1765357916665682</v>
      </c>
      <c r="D51">
        <v>3.6642404302607461</v>
      </c>
      <c r="E51">
        <v>7.586666666666666</v>
      </c>
      <c r="F51">
        <v>0</v>
      </c>
      <c r="H51">
        <v>16.718978876854489</v>
      </c>
      <c r="I51">
        <f>B51-H51</f>
        <v>1.443063740542172E-2</v>
      </c>
      <c r="J51">
        <f>E51-C51</f>
        <v>4.4101308750000978</v>
      </c>
    </row>
    <row r="52" spans="1:10">
      <c r="A52" s="8">
        <v>43282</v>
      </c>
      <c r="B52">
        <v>16.736160320039929</v>
      </c>
      <c r="C52">
        <v>3.261325886763311</v>
      </c>
      <c r="D52">
        <v>3.6437483586312438</v>
      </c>
      <c r="E52">
        <v>7.8066666666666658</v>
      </c>
      <c r="F52">
        <v>0</v>
      </c>
      <c r="H52">
        <v>16.724380714270211</v>
      </c>
      <c r="I52">
        <f>B52-H52</f>
        <v>1.1779605769717705E-2</v>
      </c>
      <c r="J52">
        <f>E52-C52</f>
        <v>4.5453407799033547</v>
      </c>
    </row>
    <row r="53" spans="1:10">
      <c r="A53" s="8">
        <v>43374</v>
      </c>
      <c r="B53">
        <v>16.73568077115204</v>
      </c>
      <c r="C53">
        <v>3.7845504114656809</v>
      </c>
      <c r="D53">
        <v>3.688454994255514</v>
      </c>
      <c r="E53">
        <v>7.9766666666666666</v>
      </c>
      <c r="F53">
        <v>0</v>
      </c>
      <c r="H53">
        <v>16.729782551685929</v>
      </c>
      <c r="I53">
        <f>B53-H53</f>
        <v>5.898219466111243E-3</v>
      </c>
      <c r="J53">
        <f>E53-C53</f>
        <v>4.1921162552009861</v>
      </c>
    </row>
    <row r="54" spans="1:10">
      <c r="A54" s="8">
        <v>43466</v>
      </c>
      <c r="B54">
        <v>16.73615411089564</v>
      </c>
      <c r="C54">
        <v>4.0597330518520316</v>
      </c>
      <c r="D54">
        <v>3.5705362854368978</v>
      </c>
      <c r="E54">
        <v>8.26</v>
      </c>
      <c r="F54">
        <v>0</v>
      </c>
      <c r="H54">
        <v>16.735184389101651</v>
      </c>
      <c r="I54">
        <f>B54-H54</f>
        <v>9.6972179398946423E-4</v>
      </c>
      <c r="J54">
        <f>E54-C54</f>
        <v>4.2002669481479682</v>
      </c>
    </row>
    <row r="55" spans="1:10">
      <c r="A55" s="8">
        <v>43556</v>
      </c>
      <c r="B55">
        <v>16.731897792917049</v>
      </c>
      <c r="C55">
        <v>4.2242758249635406</v>
      </c>
      <c r="D55">
        <v>3.832471293761142</v>
      </c>
      <c r="E55">
        <v>8.2766666666666655</v>
      </c>
      <c r="F55">
        <v>0</v>
      </c>
      <c r="H55">
        <v>16.740586226517372</v>
      </c>
      <c r="I55">
        <f>B55-H55</f>
        <v>-8.6884336003230089E-3</v>
      </c>
      <c r="J55">
        <f>E55-C55</f>
        <v>4.0523908417031249</v>
      </c>
    </row>
    <row r="56" spans="1:10">
      <c r="A56" s="8">
        <v>43647</v>
      </c>
      <c r="B56">
        <v>16.734221896188519</v>
      </c>
      <c r="C56">
        <v>3.027869621785007</v>
      </c>
      <c r="D56">
        <v>3.774107227516565</v>
      </c>
      <c r="E56">
        <v>8.17</v>
      </c>
      <c r="F56">
        <v>0</v>
      </c>
      <c r="H56">
        <v>16.74598806393309</v>
      </c>
      <c r="I56">
        <f>B56-H56</f>
        <v>-1.1766167744571732E-2</v>
      </c>
      <c r="J56">
        <f>E56-C56</f>
        <v>5.1421303782149934</v>
      </c>
    </row>
    <row r="57" spans="1:10">
      <c r="A57" s="8">
        <v>43739</v>
      </c>
      <c r="B57">
        <v>16.729622247151781</v>
      </c>
      <c r="C57">
        <v>3.2476644597159381</v>
      </c>
      <c r="D57">
        <v>3.63988573957913</v>
      </c>
      <c r="E57">
        <v>7.666666666666667</v>
      </c>
      <c r="F57">
        <v>0</v>
      </c>
      <c r="H57">
        <v>16.751389901348812</v>
      </c>
      <c r="I57">
        <f>B57-H57</f>
        <v>-2.1767654197031305E-2</v>
      </c>
      <c r="J57">
        <f>E57-C57</f>
        <v>4.4190022069507293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2128-85B3-4768-B59F-C9343F81D126}">
  <sheetPr>
    <tabColor theme="5" tint="0.79998168889431442"/>
  </sheetPr>
  <dimension ref="A1:F115"/>
  <sheetViews>
    <sheetView tabSelected="1" workbookViewId="0">
      <selection activeCell="M12" sqref="M12"/>
    </sheetView>
  </sheetViews>
  <sheetFormatPr defaultColWidth="7.625" defaultRowHeight="15"/>
  <cols>
    <col min="1" max="1" width="15.5" bestFit="1" customWidth="1"/>
  </cols>
  <sheetData>
    <row r="1" spans="1:6">
      <c r="A1" s="13" t="s">
        <v>38</v>
      </c>
      <c r="B1" s="13" t="s">
        <v>54</v>
      </c>
      <c r="C1" s="13" t="s">
        <v>46</v>
      </c>
      <c r="D1" s="13" t="s">
        <v>53</v>
      </c>
      <c r="E1" s="13" t="s">
        <v>52</v>
      </c>
      <c r="F1" s="13" t="s">
        <v>51</v>
      </c>
    </row>
    <row r="2" spans="1:6">
      <c r="A2" s="11">
        <v>34973</v>
      </c>
      <c r="B2">
        <v>10.79434381699534</v>
      </c>
      <c r="C2">
        <v>8.534319779547662</v>
      </c>
      <c r="D2">
        <v>10.93862739916932</v>
      </c>
      <c r="E2">
        <v>9.6433333333333326</v>
      </c>
      <c r="F2">
        <v>0</v>
      </c>
    </row>
    <row r="3" spans="1:6">
      <c r="A3" s="11">
        <v>35065</v>
      </c>
      <c r="B3">
        <v>10.776549759755889</v>
      </c>
      <c r="C3">
        <v>9.1908980468923716</v>
      </c>
      <c r="D3">
        <v>10.265601628145459</v>
      </c>
      <c r="E3">
        <v>11.24</v>
      </c>
      <c r="F3">
        <v>0</v>
      </c>
    </row>
    <row r="4" spans="1:6">
      <c r="A4" s="11">
        <v>35156</v>
      </c>
      <c r="B4">
        <v>10.857337623709631</v>
      </c>
      <c r="C4">
        <v>13.358165812743779</v>
      </c>
      <c r="D4">
        <v>10.29656197582403</v>
      </c>
      <c r="E4">
        <v>12.743333333333331</v>
      </c>
      <c r="F4">
        <v>0</v>
      </c>
    </row>
    <row r="5" spans="1:6">
      <c r="A5" s="11">
        <v>35247</v>
      </c>
      <c r="B5">
        <v>10.82122924704089</v>
      </c>
      <c r="C5">
        <v>8.0857790281462236</v>
      </c>
      <c r="D5">
        <v>9.7922906668325105</v>
      </c>
      <c r="E5">
        <v>12.42333333333333</v>
      </c>
      <c r="F5">
        <v>0</v>
      </c>
    </row>
    <row r="6" spans="1:6">
      <c r="A6" s="11">
        <v>35339</v>
      </c>
      <c r="B6">
        <v>10.84229063346803</v>
      </c>
      <c r="C6">
        <v>7.8753459797112013</v>
      </c>
      <c r="D6">
        <v>9.6275472168733955</v>
      </c>
      <c r="E6">
        <v>16.02</v>
      </c>
      <c r="F6">
        <v>0</v>
      </c>
    </row>
    <row r="7" spans="1:6">
      <c r="A7" s="11">
        <v>35431</v>
      </c>
      <c r="B7">
        <v>10.827049216313551</v>
      </c>
      <c r="C7">
        <v>10.07459426051631</v>
      </c>
      <c r="D7">
        <v>9.8484712702793793</v>
      </c>
      <c r="E7">
        <v>15.17333333333333</v>
      </c>
      <c r="F7">
        <v>0</v>
      </c>
    </row>
    <row r="8" spans="1:6">
      <c r="A8" s="11">
        <v>35521</v>
      </c>
      <c r="B8">
        <v>10.936431216448449</v>
      </c>
      <c r="C8">
        <v>9.5545954806973263</v>
      </c>
      <c r="D8">
        <v>8.8975786872677656</v>
      </c>
      <c r="E8">
        <v>12.8</v>
      </c>
      <c r="F8">
        <v>0</v>
      </c>
    </row>
    <row r="9" spans="1:6">
      <c r="A9" s="11">
        <v>35612</v>
      </c>
      <c r="B9">
        <v>10.883308470231171</v>
      </c>
      <c r="C9">
        <v>6.9150288346376154</v>
      </c>
      <c r="D9">
        <v>8.6048911388906149</v>
      </c>
      <c r="E9">
        <v>10.493333333333331</v>
      </c>
      <c r="F9">
        <v>0</v>
      </c>
    </row>
    <row r="10" spans="1:6">
      <c r="A10" s="11">
        <v>35704</v>
      </c>
      <c r="B10">
        <v>10.900387658436101</v>
      </c>
      <c r="C10">
        <v>5.5281431528521052</v>
      </c>
      <c r="D10">
        <v>8.0180904321758408</v>
      </c>
      <c r="E10">
        <v>12.74666666666667</v>
      </c>
      <c r="F10">
        <v>0</v>
      </c>
    </row>
    <row r="11" spans="1:6">
      <c r="A11" s="11">
        <v>35796</v>
      </c>
      <c r="B11">
        <v>10.849082224877771</v>
      </c>
      <c r="C11">
        <v>6.2703149585062068</v>
      </c>
      <c r="D11">
        <v>7.0670206066733137</v>
      </c>
      <c r="E11">
        <v>14.52</v>
      </c>
      <c r="F11">
        <v>0</v>
      </c>
    </row>
    <row r="12" spans="1:6">
      <c r="A12" s="11">
        <v>35886</v>
      </c>
      <c r="B12">
        <v>10.90556678891735</v>
      </c>
      <c r="C12">
        <v>6.9103430355127449</v>
      </c>
      <c r="D12">
        <v>6.4059574953771676</v>
      </c>
      <c r="E12">
        <v>16.346666666666671</v>
      </c>
      <c r="F12">
        <v>0</v>
      </c>
    </row>
    <row r="13" spans="1:6">
      <c r="A13" s="11">
        <v>35977</v>
      </c>
      <c r="B13">
        <v>10.887714381253049</v>
      </c>
      <c r="C13">
        <v>6.9257258438560676</v>
      </c>
      <c r="D13">
        <v>6.4086317476817811</v>
      </c>
      <c r="E13">
        <v>28.563333333333329</v>
      </c>
      <c r="F13">
        <v>0</v>
      </c>
    </row>
    <row r="14" spans="1:6">
      <c r="A14" s="11">
        <v>36069</v>
      </c>
      <c r="B14">
        <v>10.891344771009299</v>
      </c>
      <c r="C14">
        <v>8.2835356959732884</v>
      </c>
      <c r="D14">
        <v>7.0974798834620767</v>
      </c>
      <c r="E14">
        <v>16.393333333333331</v>
      </c>
      <c r="F14">
        <v>0</v>
      </c>
    </row>
    <row r="15" spans="1:6">
      <c r="A15" s="11">
        <v>36161</v>
      </c>
      <c r="B15">
        <v>10.84378058341502</v>
      </c>
      <c r="C15">
        <v>7.7010796937064363</v>
      </c>
      <c r="D15">
        <v>7.4551710672621336</v>
      </c>
      <c r="E15">
        <v>19.673333333333339</v>
      </c>
      <c r="F15">
        <v>0</v>
      </c>
    </row>
    <row r="16" spans="1:6">
      <c r="A16" s="11">
        <v>36251</v>
      </c>
      <c r="B16">
        <v>10.92445862703968</v>
      </c>
      <c r="C16">
        <v>6.1077026614923868</v>
      </c>
      <c r="D16">
        <v>7.2545109737570446</v>
      </c>
      <c r="E16">
        <v>13.506666666666669</v>
      </c>
      <c r="F16">
        <v>0</v>
      </c>
    </row>
    <row r="17" spans="1:6">
      <c r="A17" s="11">
        <v>36342</v>
      </c>
      <c r="B17">
        <v>10.881740172779759</v>
      </c>
      <c r="C17">
        <v>3.039505366485673</v>
      </c>
      <c r="D17">
        <v>6.2829558544144462</v>
      </c>
      <c r="E17">
        <v>9.4066666666666663</v>
      </c>
      <c r="F17">
        <v>0</v>
      </c>
    </row>
    <row r="18" spans="1:6">
      <c r="A18" s="11">
        <v>36434</v>
      </c>
      <c r="B18">
        <v>10.941079323247831</v>
      </c>
      <c r="C18">
        <v>4.2086382285264179</v>
      </c>
      <c r="D18">
        <v>5.2642314875527276</v>
      </c>
      <c r="E18">
        <v>17.733333333333331</v>
      </c>
      <c r="F18">
        <v>0</v>
      </c>
    </row>
    <row r="19" spans="1:6">
      <c r="A19" s="11">
        <v>36526</v>
      </c>
      <c r="B19">
        <v>10.90915859682311</v>
      </c>
      <c r="C19">
        <v>3.5191834249818088</v>
      </c>
      <c r="D19">
        <v>4.2187574203715714</v>
      </c>
      <c r="E19">
        <v>12.17</v>
      </c>
      <c r="F19">
        <v>0</v>
      </c>
    </row>
    <row r="20" spans="1:6">
      <c r="A20" s="11">
        <v>36617</v>
      </c>
      <c r="B20">
        <v>10.972594657968671</v>
      </c>
      <c r="C20">
        <v>3.5834554831484229</v>
      </c>
      <c r="D20">
        <v>3.5876956257855812</v>
      </c>
      <c r="E20">
        <v>14.383333333333329</v>
      </c>
      <c r="F20">
        <v>0</v>
      </c>
    </row>
    <row r="21" spans="1:6">
      <c r="A21" s="11">
        <v>36708</v>
      </c>
      <c r="B21">
        <v>10.908187454842819</v>
      </c>
      <c r="C21">
        <v>2.9490996544867092</v>
      </c>
      <c r="D21">
        <v>3.565094197785839</v>
      </c>
      <c r="E21">
        <v>11.01</v>
      </c>
      <c r="F21">
        <v>0</v>
      </c>
    </row>
    <row r="22" spans="1:6">
      <c r="A22" s="11">
        <v>36800</v>
      </c>
      <c r="B22">
        <v>10.9087883534306</v>
      </c>
      <c r="C22">
        <v>3.306344688758545</v>
      </c>
      <c r="D22">
        <v>3.339520812843872</v>
      </c>
      <c r="E22">
        <v>13.31666666666667</v>
      </c>
      <c r="F22">
        <v>0</v>
      </c>
    </row>
    <row r="23" spans="1:6">
      <c r="A23" s="11">
        <v>36892</v>
      </c>
      <c r="B23">
        <v>10.85438001910665</v>
      </c>
      <c r="C23">
        <v>2.4565550920076169</v>
      </c>
      <c r="D23">
        <v>3.0738637296003239</v>
      </c>
      <c r="E23">
        <v>10.694185566916801</v>
      </c>
      <c r="F23">
        <v>0</v>
      </c>
    </row>
    <row r="24" spans="1:6">
      <c r="A24" s="11">
        <v>36982</v>
      </c>
      <c r="B24">
        <v>10.975602946767649</v>
      </c>
      <c r="C24">
        <v>1.9234556303547421</v>
      </c>
      <c r="D24">
        <v>2.658863766401903</v>
      </c>
      <c r="E24">
        <v>13.732080492705229</v>
      </c>
      <c r="F24">
        <v>0</v>
      </c>
    </row>
    <row r="25" spans="1:6">
      <c r="A25" s="11">
        <v>37073</v>
      </c>
      <c r="B25">
        <v>10.93524124964293</v>
      </c>
      <c r="C25">
        <v>0.81194165143700925</v>
      </c>
      <c r="D25">
        <v>2.1245742656394779</v>
      </c>
      <c r="E25">
        <v>6.6375209685762204</v>
      </c>
      <c r="F25">
        <v>0</v>
      </c>
    </row>
    <row r="26" spans="1:6">
      <c r="A26" s="11">
        <v>37165</v>
      </c>
      <c r="B26">
        <v>10.95550596743889</v>
      </c>
      <c r="C26">
        <v>0.85011864864501518</v>
      </c>
      <c r="D26">
        <v>1.510517755611096</v>
      </c>
      <c r="E26">
        <v>3.7233966505076599</v>
      </c>
      <c r="F26">
        <v>0</v>
      </c>
    </row>
    <row r="27" spans="1:6">
      <c r="A27" s="11">
        <v>37257</v>
      </c>
      <c r="B27">
        <v>10.917589718902891</v>
      </c>
      <c r="C27">
        <v>0.89777566395115027</v>
      </c>
      <c r="D27">
        <v>1.120822898596979</v>
      </c>
      <c r="E27">
        <v>2.6</v>
      </c>
      <c r="F27">
        <v>0</v>
      </c>
    </row>
    <row r="28" spans="1:6">
      <c r="A28" s="11">
        <v>37347</v>
      </c>
      <c r="B28">
        <v>11.039832697781719</v>
      </c>
      <c r="C28">
        <v>1.123250330016301</v>
      </c>
      <c r="D28">
        <v>0.92077157351236893</v>
      </c>
      <c r="E28">
        <v>2.5333333333333332</v>
      </c>
      <c r="F28">
        <v>0</v>
      </c>
    </row>
    <row r="29" spans="1:6">
      <c r="A29" s="11">
        <v>37438</v>
      </c>
      <c r="B29">
        <v>10.975145728798431</v>
      </c>
      <c r="C29">
        <v>1.7086810593196939</v>
      </c>
      <c r="D29">
        <v>1.14495642548304</v>
      </c>
      <c r="E29">
        <v>3.746789221325483</v>
      </c>
      <c r="F29">
        <v>0</v>
      </c>
    </row>
    <row r="30" spans="1:6">
      <c r="A30" s="11">
        <v>37530</v>
      </c>
      <c r="B30">
        <v>11.00082610837311</v>
      </c>
      <c r="C30">
        <v>1.46386109139951</v>
      </c>
      <c r="D30">
        <v>1.2983920361716641</v>
      </c>
      <c r="E30">
        <v>4.1133295036764714</v>
      </c>
      <c r="F30">
        <v>0</v>
      </c>
    </row>
    <row r="31" spans="1:6">
      <c r="A31" s="11">
        <v>37622</v>
      </c>
      <c r="B31">
        <v>10.97248684158059</v>
      </c>
      <c r="C31">
        <v>0.6901006707600299</v>
      </c>
      <c r="D31">
        <v>1.246473287873884</v>
      </c>
      <c r="E31">
        <v>3.79</v>
      </c>
      <c r="F31">
        <v>0</v>
      </c>
    </row>
    <row r="32" spans="1:6">
      <c r="A32" s="11">
        <v>37712</v>
      </c>
      <c r="B32">
        <v>11.085252908401261</v>
      </c>
      <c r="C32">
        <v>0.96634126683941002</v>
      </c>
      <c r="D32">
        <v>1.207246022079661</v>
      </c>
      <c r="E32">
        <v>3.7866666666666671</v>
      </c>
      <c r="F32">
        <v>0</v>
      </c>
    </row>
    <row r="33" spans="1:6">
      <c r="A33" s="11">
        <v>37803</v>
      </c>
      <c r="B33">
        <v>11.011252551618361</v>
      </c>
      <c r="C33">
        <v>0.41632481521987058</v>
      </c>
      <c r="D33">
        <v>0.88415696105470509</v>
      </c>
      <c r="E33">
        <v>3.083333333333333</v>
      </c>
      <c r="F33">
        <v>0</v>
      </c>
    </row>
    <row r="34" spans="1:6">
      <c r="A34" s="11">
        <v>37895</v>
      </c>
      <c r="B34">
        <v>11.02824135530045</v>
      </c>
      <c r="C34">
        <v>0.49150424814801141</v>
      </c>
      <c r="D34">
        <v>0.64106775024183049</v>
      </c>
      <c r="E34">
        <v>2.6066666666666669</v>
      </c>
      <c r="F34">
        <v>0</v>
      </c>
    </row>
    <row r="35" spans="1:6">
      <c r="A35" s="11">
        <v>37987</v>
      </c>
      <c r="B35">
        <v>11.017215284694281</v>
      </c>
      <c r="C35">
        <v>1.3294365804141119</v>
      </c>
      <c r="D35">
        <v>0.80090172765535095</v>
      </c>
      <c r="E35">
        <v>2.4700000000000002</v>
      </c>
      <c r="F35">
        <v>0</v>
      </c>
    </row>
    <row r="36" spans="1:6">
      <c r="A36" s="11">
        <v>38078</v>
      </c>
      <c r="B36">
        <v>11.12195055799007</v>
      </c>
      <c r="C36">
        <v>1.9708331655911679</v>
      </c>
      <c r="D36">
        <v>1.05202470234329</v>
      </c>
      <c r="E36">
        <v>2.476666666666667</v>
      </c>
      <c r="F36">
        <v>0</v>
      </c>
    </row>
    <row r="37" spans="1:6">
      <c r="A37" s="11">
        <v>38169</v>
      </c>
      <c r="B37">
        <v>11.053200870578999</v>
      </c>
      <c r="C37">
        <v>0.93448504188629045</v>
      </c>
      <c r="D37">
        <v>1.181564759009895</v>
      </c>
      <c r="E37">
        <v>2.6133333333333328</v>
      </c>
      <c r="F37">
        <v>0</v>
      </c>
    </row>
    <row r="38" spans="1:6">
      <c r="A38" s="11">
        <v>38261</v>
      </c>
      <c r="B38">
        <v>11.09847770750414</v>
      </c>
      <c r="C38">
        <v>0.98299985089962405</v>
      </c>
      <c r="D38">
        <v>1.304438659697799</v>
      </c>
      <c r="E38">
        <v>2.9833333333333329</v>
      </c>
      <c r="F38">
        <v>0</v>
      </c>
    </row>
    <row r="39" spans="1:6">
      <c r="A39" s="11">
        <v>38353</v>
      </c>
      <c r="B39">
        <v>11.071950624333869</v>
      </c>
      <c r="C39">
        <v>1.0834376535995951</v>
      </c>
      <c r="D39">
        <v>1.2429389279941689</v>
      </c>
      <c r="E39">
        <v>2.936666666666667</v>
      </c>
      <c r="F39">
        <v>0</v>
      </c>
    </row>
    <row r="40" spans="1:6">
      <c r="A40" s="11">
        <v>38443</v>
      </c>
      <c r="B40">
        <v>11.174797004245169</v>
      </c>
      <c r="C40">
        <v>1.683157162215543</v>
      </c>
      <c r="D40">
        <v>1.171019927150263</v>
      </c>
      <c r="E40">
        <v>3.01</v>
      </c>
      <c r="F40">
        <v>0</v>
      </c>
    </row>
    <row r="41" spans="1:6">
      <c r="A41" s="11">
        <v>38534</v>
      </c>
      <c r="B41">
        <v>11.11587227010874</v>
      </c>
      <c r="C41">
        <v>0.56244895718491339</v>
      </c>
      <c r="D41">
        <v>1.078010905974919</v>
      </c>
      <c r="E41">
        <v>2.9866666666666668</v>
      </c>
      <c r="F41">
        <v>0</v>
      </c>
    </row>
    <row r="42" spans="1:6">
      <c r="A42" s="11">
        <v>38626</v>
      </c>
      <c r="B42">
        <v>11.17170295297686</v>
      </c>
      <c r="C42">
        <v>0.99243956165095959</v>
      </c>
      <c r="D42">
        <v>1.0803708336627531</v>
      </c>
      <c r="E42">
        <v>3.1333333333333329</v>
      </c>
      <c r="F42">
        <v>0</v>
      </c>
    </row>
    <row r="43" spans="1:6">
      <c r="A43" s="11">
        <v>38718</v>
      </c>
      <c r="B43">
        <v>11.15153605493426</v>
      </c>
      <c r="C43">
        <v>2.141773392517909</v>
      </c>
      <c r="D43">
        <v>1.3449547683923311</v>
      </c>
      <c r="E43">
        <v>3.84</v>
      </c>
      <c r="F43">
        <v>0</v>
      </c>
    </row>
    <row r="44" spans="1:6">
      <c r="A44" s="11">
        <v>38808</v>
      </c>
      <c r="B44">
        <v>11.236169293471081</v>
      </c>
      <c r="C44">
        <v>1.655979487521275</v>
      </c>
      <c r="D44">
        <v>1.338160349718764</v>
      </c>
      <c r="E44">
        <v>4.4766666666666666</v>
      </c>
      <c r="F44">
        <v>0</v>
      </c>
    </row>
    <row r="45" spans="1:6">
      <c r="A45" s="11">
        <v>38899</v>
      </c>
      <c r="B45">
        <v>11.195557343999459</v>
      </c>
      <c r="C45">
        <v>0.71294309912635079</v>
      </c>
      <c r="D45">
        <v>1.375783885204124</v>
      </c>
      <c r="E45">
        <v>4.4833333333333334</v>
      </c>
      <c r="F45">
        <v>0</v>
      </c>
    </row>
    <row r="46" spans="1:6">
      <c r="A46" s="11">
        <v>38991</v>
      </c>
      <c r="B46">
        <v>11.242387091700749</v>
      </c>
      <c r="C46">
        <v>1.184835732778744</v>
      </c>
      <c r="D46">
        <v>1.4238829279860701</v>
      </c>
      <c r="E46">
        <v>4.496666666666667</v>
      </c>
      <c r="F46">
        <v>0</v>
      </c>
    </row>
    <row r="47" spans="1:6">
      <c r="A47" s="11">
        <v>39083</v>
      </c>
      <c r="B47">
        <v>11.203053923781191</v>
      </c>
      <c r="C47">
        <v>2.1129763956416299</v>
      </c>
      <c r="D47">
        <v>1.4166836787670001</v>
      </c>
      <c r="E47">
        <v>4.4866666666666672</v>
      </c>
      <c r="F47">
        <v>0</v>
      </c>
    </row>
    <row r="48" spans="1:6">
      <c r="A48" s="11">
        <v>39173</v>
      </c>
      <c r="B48">
        <v>11.29757587418325</v>
      </c>
      <c r="C48">
        <v>2.2194944928604081</v>
      </c>
      <c r="D48">
        <v>1.557562430101783</v>
      </c>
      <c r="E48">
        <v>4.5066666666666668</v>
      </c>
      <c r="F48">
        <v>0</v>
      </c>
    </row>
    <row r="49" spans="1:6">
      <c r="A49" s="11">
        <v>39264</v>
      </c>
      <c r="B49">
        <v>11.29848929414851</v>
      </c>
      <c r="C49">
        <v>2.56125677816974</v>
      </c>
      <c r="D49">
        <v>2.0196408498626308</v>
      </c>
      <c r="E49">
        <v>4.8099999999999996</v>
      </c>
      <c r="F49">
        <v>0</v>
      </c>
    </row>
    <row r="50" spans="1:6">
      <c r="A50" s="11">
        <v>39356</v>
      </c>
      <c r="B50">
        <v>11.350562958531849</v>
      </c>
      <c r="C50">
        <v>4.4107596977477348</v>
      </c>
      <c r="D50">
        <v>2.8261218411048779</v>
      </c>
      <c r="E50">
        <v>4.9866666666666672</v>
      </c>
      <c r="F50">
        <v>0</v>
      </c>
    </row>
    <row r="51" spans="1:6">
      <c r="A51" s="11">
        <v>39448</v>
      </c>
      <c r="B51">
        <v>11.29968666178714</v>
      </c>
      <c r="C51">
        <v>4.4764674815538807</v>
      </c>
      <c r="D51">
        <v>3.4169946125829411</v>
      </c>
      <c r="E51">
        <v>4.8899999999999997</v>
      </c>
      <c r="F51">
        <v>0</v>
      </c>
    </row>
    <row r="52" spans="1:6">
      <c r="A52" s="11">
        <v>39539</v>
      </c>
      <c r="B52">
        <v>11.39771340402422</v>
      </c>
      <c r="C52">
        <v>5.6511130844334456</v>
      </c>
      <c r="D52">
        <v>4.2748992604762002</v>
      </c>
      <c r="E52">
        <v>5.5262866666666666</v>
      </c>
      <c r="F52">
        <v>0</v>
      </c>
    </row>
    <row r="53" spans="1:6">
      <c r="A53" s="11">
        <v>39630</v>
      </c>
      <c r="B53">
        <v>11.389969282885531</v>
      </c>
      <c r="C53">
        <v>5.752020684623349</v>
      </c>
      <c r="D53">
        <v>5.0725902370896021</v>
      </c>
      <c r="E53">
        <v>6.1830473333333336</v>
      </c>
      <c r="F53">
        <v>0</v>
      </c>
    </row>
    <row r="54" spans="1:6">
      <c r="A54" s="11">
        <v>39722</v>
      </c>
      <c r="B54">
        <v>11.413389376578859</v>
      </c>
      <c r="C54">
        <v>6.2111899688700678</v>
      </c>
      <c r="D54">
        <v>5.5226978048701856</v>
      </c>
      <c r="E54">
        <v>6.5606666666666662</v>
      </c>
      <c r="F54">
        <v>0</v>
      </c>
    </row>
    <row r="55" spans="1:6">
      <c r="A55" s="11">
        <v>39814</v>
      </c>
      <c r="B55">
        <v>11.32529636807114</v>
      </c>
      <c r="C55">
        <v>5.2120577121180567</v>
      </c>
      <c r="D55">
        <v>5.7065953625112291</v>
      </c>
      <c r="E55">
        <v>6.3606681633333331</v>
      </c>
      <c r="F55">
        <v>0</v>
      </c>
    </row>
    <row r="56" spans="1:6">
      <c r="A56" s="11">
        <v>39904</v>
      </c>
      <c r="B56">
        <v>11.390350539024359</v>
      </c>
      <c r="C56">
        <v>3.1670536820585178</v>
      </c>
      <c r="D56">
        <v>5.0855805119174979</v>
      </c>
      <c r="E56">
        <v>4.2414800000000001</v>
      </c>
      <c r="F56">
        <v>0</v>
      </c>
    </row>
    <row r="57" spans="1:6">
      <c r="A57" s="11">
        <v>39995</v>
      </c>
      <c r="B57">
        <v>11.388963329184969</v>
      </c>
      <c r="C57">
        <v>1.514179268889992</v>
      </c>
      <c r="D57">
        <v>4.0261201579841588</v>
      </c>
      <c r="E57">
        <v>1.591033333333334</v>
      </c>
      <c r="F57">
        <v>0</v>
      </c>
    </row>
    <row r="58" spans="1:6">
      <c r="A58" s="11">
        <v>40087</v>
      </c>
      <c r="B58">
        <v>11.440306373114719</v>
      </c>
      <c r="C58">
        <v>1.030801183275565</v>
      </c>
      <c r="D58">
        <v>2.7310229615855328</v>
      </c>
      <c r="E58">
        <v>1.2046874506</v>
      </c>
      <c r="F58">
        <v>0</v>
      </c>
    </row>
    <row r="59" spans="1:6">
      <c r="A59" s="11">
        <v>40179</v>
      </c>
      <c r="B59">
        <v>11.378670542089379</v>
      </c>
      <c r="C59">
        <v>2.1532365175367159</v>
      </c>
      <c r="D59">
        <v>1.9663176629401979</v>
      </c>
      <c r="E59">
        <v>1.1492933333333331</v>
      </c>
      <c r="F59">
        <v>0</v>
      </c>
    </row>
    <row r="60" spans="1:6">
      <c r="A60" s="11">
        <v>40269</v>
      </c>
      <c r="B60">
        <v>11.480331175695969</v>
      </c>
      <c r="C60">
        <v>2.57926509637656</v>
      </c>
      <c r="D60">
        <v>1.819370516519708</v>
      </c>
      <c r="E60">
        <v>1.4286000000000001</v>
      </c>
      <c r="F60">
        <v>0</v>
      </c>
    </row>
    <row r="61" spans="1:6">
      <c r="A61" s="11">
        <v>40360</v>
      </c>
      <c r="B61">
        <v>11.48035054672026</v>
      </c>
      <c r="C61">
        <v>1.67136224822817</v>
      </c>
      <c r="D61">
        <v>1.8586662613542531</v>
      </c>
      <c r="E61">
        <v>2.3393333333333328</v>
      </c>
      <c r="F61">
        <v>0</v>
      </c>
    </row>
    <row r="62" spans="1:6">
      <c r="A62" s="11">
        <v>40452</v>
      </c>
      <c r="B62">
        <v>11.52343182932692</v>
      </c>
      <c r="C62">
        <v>1.806332738627048</v>
      </c>
      <c r="D62">
        <v>2.052549150192124</v>
      </c>
      <c r="E62">
        <v>2.9659666666666671</v>
      </c>
      <c r="F62">
        <v>0</v>
      </c>
    </row>
    <row r="63" spans="1:6">
      <c r="A63" s="11">
        <v>40544</v>
      </c>
      <c r="B63">
        <v>11.45945627873024</v>
      </c>
      <c r="C63">
        <v>2.7992944015675429</v>
      </c>
      <c r="D63">
        <v>2.2140636211998301</v>
      </c>
      <c r="E63">
        <v>3.4253999999999998</v>
      </c>
      <c r="F63">
        <v>0</v>
      </c>
    </row>
    <row r="64" spans="1:6">
      <c r="A64" s="11">
        <v>40634</v>
      </c>
      <c r="B64">
        <v>11.531828521106901</v>
      </c>
      <c r="C64">
        <v>4.9276968320421943</v>
      </c>
      <c r="D64">
        <v>2.8011715551162379</v>
      </c>
      <c r="E64">
        <v>4.1597999999999997</v>
      </c>
      <c r="F64">
        <v>0</v>
      </c>
    </row>
    <row r="65" spans="1:6">
      <c r="A65" s="11">
        <v>40725</v>
      </c>
      <c r="B65">
        <v>11.53684003838123</v>
      </c>
      <c r="C65">
        <v>3.465526138644393</v>
      </c>
      <c r="D65">
        <v>3.2497125277202938</v>
      </c>
      <c r="E65">
        <v>4.2538666666666671</v>
      </c>
      <c r="F65">
        <v>0</v>
      </c>
    </row>
    <row r="66" spans="1:6">
      <c r="A66" s="11">
        <v>40817</v>
      </c>
      <c r="B66">
        <v>11.58183490097654</v>
      </c>
      <c r="C66">
        <v>3.2955733576778061</v>
      </c>
      <c r="D66">
        <v>3.6220226824829842</v>
      </c>
      <c r="E66">
        <v>4.2553333333333336</v>
      </c>
      <c r="F66">
        <v>0</v>
      </c>
    </row>
    <row r="67" spans="1:6">
      <c r="A67" s="11">
        <v>40909</v>
      </c>
      <c r="B67">
        <v>11.51876818300213</v>
      </c>
      <c r="C67">
        <v>3.3778403107221688</v>
      </c>
      <c r="D67">
        <v>3.766659159771641</v>
      </c>
      <c r="E67">
        <v>4.2357333333333331</v>
      </c>
      <c r="F67">
        <v>0</v>
      </c>
    </row>
    <row r="68" spans="1:6">
      <c r="A68" s="11">
        <v>41000</v>
      </c>
      <c r="B68">
        <v>11.58909915919307</v>
      </c>
      <c r="C68">
        <v>4.7895966051348937</v>
      </c>
      <c r="D68">
        <v>3.7321341030448152</v>
      </c>
      <c r="E68">
        <v>4.2382999999999997</v>
      </c>
      <c r="F68">
        <v>0</v>
      </c>
    </row>
    <row r="69" spans="1:6">
      <c r="A69" s="11">
        <v>41091</v>
      </c>
      <c r="B69">
        <v>11.604690166989631</v>
      </c>
      <c r="C69">
        <v>2.7625591677281398</v>
      </c>
      <c r="D69">
        <v>3.5563923603157521</v>
      </c>
      <c r="E69">
        <v>4.232966666666667</v>
      </c>
      <c r="F69">
        <v>0</v>
      </c>
    </row>
    <row r="70" spans="1:6">
      <c r="A70" s="11">
        <v>41183</v>
      </c>
      <c r="B70">
        <v>11.63591563107212</v>
      </c>
      <c r="C70">
        <v>2.180293157942192</v>
      </c>
      <c r="D70">
        <v>3.2775723103818488</v>
      </c>
      <c r="E70">
        <v>4.2436666666666669</v>
      </c>
      <c r="F70">
        <v>0</v>
      </c>
    </row>
    <row r="71" spans="1:6">
      <c r="A71" s="11">
        <v>41275</v>
      </c>
      <c r="B71">
        <v>11.567350977835879</v>
      </c>
      <c r="C71">
        <v>3.6711669141833441</v>
      </c>
      <c r="D71">
        <v>3.350903961247143</v>
      </c>
      <c r="E71">
        <v>4.1976666666666667</v>
      </c>
      <c r="F71">
        <v>0</v>
      </c>
    </row>
    <row r="72" spans="1:6">
      <c r="A72" s="11">
        <v>41365</v>
      </c>
      <c r="B72">
        <v>11.6498557759717</v>
      </c>
      <c r="C72">
        <v>4.8791834779570156</v>
      </c>
      <c r="D72">
        <v>3.3733006794526732</v>
      </c>
      <c r="E72">
        <v>4.2384000000000004</v>
      </c>
      <c r="F72">
        <v>0</v>
      </c>
    </row>
    <row r="73" spans="1:6">
      <c r="A73" s="11">
        <v>41456</v>
      </c>
      <c r="B73">
        <v>11.65563654999821</v>
      </c>
      <c r="C73">
        <v>3.5167763631184461</v>
      </c>
      <c r="D73">
        <v>3.56185497830025</v>
      </c>
      <c r="E73">
        <v>4.372233333333333</v>
      </c>
      <c r="F73">
        <v>0</v>
      </c>
    </row>
    <row r="74" spans="1:6">
      <c r="A74" s="11">
        <v>41548</v>
      </c>
      <c r="B74">
        <v>11.70211623295161</v>
      </c>
      <c r="C74">
        <v>2.7695597922957389</v>
      </c>
      <c r="D74">
        <v>3.709171636888636</v>
      </c>
      <c r="E74">
        <v>4.1732666666666667</v>
      </c>
      <c r="F74">
        <v>0</v>
      </c>
    </row>
    <row r="75" spans="1:6">
      <c r="A75" s="11">
        <v>41640</v>
      </c>
      <c r="B75">
        <v>11.61571574439898</v>
      </c>
      <c r="C75">
        <v>3.9304077680198062</v>
      </c>
      <c r="D75">
        <v>3.7739818503477518</v>
      </c>
      <c r="E75">
        <v>4.1026999999999996</v>
      </c>
      <c r="F75">
        <v>0</v>
      </c>
    </row>
    <row r="76" spans="1:6">
      <c r="A76" s="11">
        <v>41730</v>
      </c>
      <c r="B76">
        <v>11.66925559378649</v>
      </c>
      <c r="C76">
        <v>4.3451483472403796</v>
      </c>
      <c r="D76">
        <v>3.640473067668593</v>
      </c>
      <c r="E76">
        <v>4.0026000000000002</v>
      </c>
      <c r="F76">
        <v>0</v>
      </c>
    </row>
    <row r="77" spans="1:6">
      <c r="A77" s="11">
        <v>41821</v>
      </c>
      <c r="B77">
        <v>11.67370424178017</v>
      </c>
      <c r="C77">
        <v>2.291699116455725</v>
      </c>
      <c r="D77">
        <v>3.3342037560029132</v>
      </c>
      <c r="E77">
        <v>3.768466666666666</v>
      </c>
      <c r="F77">
        <v>0</v>
      </c>
    </row>
    <row r="78" spans="1:6">
      <c r="A78" s="11">
        <v>41913</v>
      </c>
      <c r="B78">
        <v>11.712746164742921</v>
      </c>
      <c r="C78">
        <v>2.4727907095558832</v>
      </c>
      <c r="D78">
        <v>3.2600114853179489</v>
      </c>
      <c r="E78">
        <v>3.6554333333333329</v>
      </c>
      <c r="F78">
        <v>0</v>
      </c>
    </row>
    <row r="79" spans="1:6">
      <c r="A79" s="11">
        <v>42005</v>
      </c>
      <c r="B79">
        <v>11.634840140303099</v>
      </c>
      <c r="C79">
        <v>4.5260855073302464</v>
      </c>
      <c r="D79">
        <v>3.4089309201455591</v>
      </c>
      <c r="E79">
        <v>3.3757000000000001</v>
      </c>
      <c r="F79">
        <v>0</v>
      </c>
    </row>
    <row r="80" spans="1:6">
      <c r="A80" s="11">
        <v>42095</v>
      </c>
      <c r="B80">
        <v>11.70052191833638</v>
      </c>
      <c r="C80">
        <v>5.6442452323526959</v>
      </c>
      <c r="D80">
        <v>3.7337051414236382</v>
      </c>
      <c r="E80">
        <v>3.473066666666667</v>
      </c>
      <c r="F80">
        <v>0</v>
      </c>
    </row>
    <row r="81" spans="1:6">
      <c r="A81" s="11">
        <v>42186</v>
      </c>
      <c r="B81">
        <v>11.704774020450669</v>
      </c>
      <c r="C81">
        <v>3.4278006230105351</v>
      </c>
      <c r="D81">
        <v>4.0177305180623399</v>
      </c>
      <c r="E81">
        <v>3.5796000000000001</v>
      </c>
      <c r="F81">
        <v>0</v>
      </c>
    </row>
    <row r="82" spans="1:6">
      <c r="A82" s="11">
        <v>42278</v>
      </c>
      <c r="B82">
        <v>11.757884252218579</v>
      </c>
      <c r="C82">
        <v>2.9730743587374149</v>
      </c>
      <c r="D82">
        <v>4.1428014303577232</v>
      </c>
      <c r="E82">
        <v>3.595333333333333</v>
      </c>
      <c r="F82">
        <v>0</v>
      </c>
    </row>
    <row r="83" spans="1:6">
      <c r="A83" s="11">
        <v>42370</v>
      </c>
      <c r="B83">
        <v>11.678656210560209</v>
      </c>
      <c r="C83">
        <v>4.8698436757830477</v>
      </c>
      <c r="D83">
        <v>4.2287409724709244</v>
      </c>
      <c r="E83">
        <v>4.4646333333333326</v>
      </c>
      <c r="F83">
        <v>0</v>
      </c>
    </row>
    <row r="84" spans="1:6">
      <c r="A84" s="11">
        <v>42461</v>
      </c>
      <c r="B84">
        <v>11.73719594106611</v>
      </c>
      <c r="C84">
        <v>5.0223720713140851</v>
      </c>
      <c r="D84">
        <v>4.0732726822112708</v>
      </c>
      <c r="E84">
        <v>4.4233000000000002</v>
      </c>
      <c r="F84">
        <v>0</v>
      </c>
    </row>
    <row r="85" spans="1:6">
      <c r="A85" s="11">
        <v>42552</v>
      </c>
      <c r="B85">
        <v>11.74986059375772</v>
      </c>
      <c r="C85">
        <v>2.7723615012798848</v>
      </c>
      <c r="D85">
        <v>3.9094129017786079</v>
      </c>
      <c r="E85">
        <v>4.2413999999999996</v>
      </c>
      <c r="F85">
        <v>0</v>
      </c>
    </row>
    <row r="86" spans="1:6">
      <c r="A86" s="11">
        <v>42644</v>
      </c>
      <c r="B86">
        <v>11.788119672601031</v>
      </c>
      <c r="C86">
        <v>2.6181594839048028</v>
      </c>
      <c r="D86">
        <v>3.8206841830704561</v>
      </c>
      <c r="E86">
        <v>4.3048999999999999</v>
      </c>
      <c r="F86">
        <v>0</v>
      </c>
    </row>
    <row r="87" spans="1:6">
      <c r="A87" s="11">
        <v>42736</v>
      </c>
      <c r="B87">
        <v>11.7012297147139</v>
      </c>
      <c r="C87">
        <v>3.233546681962074</v>
      </c>
      <c r="D87">
        <v>3.4116099346152118</v>
      </c>
      <c r="E87">
        <v>4.2486666666666659</v>
      </c>
      <c r="F87">
        <v>0</v>
      </c>
    </row>
    <row r="88" spans="1:6">
      <c r="A88" s="11">
        <v>42826</v>
      </c>
      <c r="B88">
        <v>11.763332463883829</v>
      </c>
      <c r="C88">
        <v>3.9878506778459721</v>
      </c>
      <c r="D88">
        <v>3.152979586248184</v>
      </c>
      <c r="E88">
        <v>4.1229333333333331</v>
      </c>
      <c r="F88">
        <v>0</v>
      </c>
    </row>
    <row r="89" spans="1:6">
      <c r="A89" s="11">
        <v>42917</v>
      </c>
      <c r="B89">
        <v>11.77761863082503</v>
      </c>
      <c r="C89">
        <v>1.714271928410382</v>
      </c>
      <c r="D89">
        <v>2.8884571930308081</v>
      </c>
      <c r="E89">
        <v>3.7269333333333332</v>
      </c>
      <c r="F89">
        <v>0</v>
      </c>
    </row>
    <row r="90" spans="1:6">
      <c r="A90" s="11">
        <v>43009</v>
      </c>
      <c r="B90">
        <v>11.811080031429221</v>
      </c>
      <c r="C90">
        <v>0.86426965670545197</v>
      </c>
      <c r="D90">
        <v>2.4499847362309701</v>
      </c>
      <c r="E90">
        <v>3.3706999999999998</v>
      </c>
      <c r="F90">
        <v>0</v>
      </c>
    </row>
    <row r="91" spans="1:6">
      <c r="A91" s="11">
        <v>43101</v>
      </c>
      <c r="B91">
        <v>11.732438265077009</v>
      </c>
      <c r="C91">
        <v>2.292434519079078</v>
      </c>
      <c r="D91">
        <v>2.214706695510221</v>
      </c>
      <c r="E91">
        <v>2.9716333333333331</v>
      </c>
      <c r="F91">
        <v>0</v>
      </c>
    </row>
    <row r="92" spans="1:6">
      <c r="A92" s="11">
        <v>43191</v>
      </c>
      <c r="B92">
        <v>11.81780473677189</v>
      </c>
      <c r="C92">
        <v>3.8807423533342211</v>
      </c>
      <c r="D92">
        <v>2.1879296143822828</v>
      </c>
      <c r="E92">
        <v>2.7648333333333328</v>
      </c>
      <c r="F92">
        <v>0</v>
      </c>
    </row>
    <row r="93" spans="1:6">
      <c r="A93" s="11">
        <v>43282</v>
      </c>
      <c r="B93">
        <v>11.80171411743645</v>
      </c>
      <c r="C93">
        <v>2.5988465097172671</v>
      </c>
      <c r="D93">
        <v>2.4090732597090052</v>
      </c>
      <c r="E93">
        <v>2.7464</v>
      </c>
      <c r="F93">
        <v>0</v>
      </c>
    </row>
    <row r="94" spans="1:6">
      <c r="A94" s="11">
        <v>43374</v>
      </c>
      <c r="B94">
        <v>11.85617425309893</v>
      </c>
      <c r="C94">
        <v>1.2880443799816901</v>
      </c>
      <c r="D94">
        <v>2.515016940528064</v>
      </c>
      <c r="E94">
        <v>2.7587666666666659</v>
      </c>
      <c r="F94">
        <v>0</v>
      </c>
    </row>
    <row r="95" spans="1:6">
      <c r="A95" s="11">
        <v>43466</v>
      </c>
      <c r="B95">
        <v>11.75604279756039</v>
      </c>
      <c r="C95">
        <v>2.6447096846601288</v>
      </c>
      <c r="D95">
        <v>2.6030857319233269</v>
      </c>
      <c r="E95">
        <v>2.7525333333333331</v>
      </c>
      <c r="F95">
        <v>0</v>
      </c>
    </row>
    <row r="96" spans="1:6">
      <c r="A96" s="11">
        <v>43556</v>
      </c>
      <c r="B96">
        <v>11.829162151168999</v>
      </c>
      <c r="C96">
        <v>3.4379465786145151</v>
      </c>
      <c r="D96">
        <v>2.4923867882434001</v>
      </c>
      <c r="E96">
        <v>2.7650333333333328</v>
      </c>
      <c r="F96">
        <v>0</v>
      </c>
    </row>
    <row r="97" spans="1:6">
      <c r="A97" s="11">
        <v>43647</v>
      </c>
      <c r="B97">
        <v>11.835048347421781</v>
      </c>
      <c r="C97">
        <v>1.7552070713810151</v>
      </c>
      <c r="D97">
        <v>2.281476928659337</v>
      </c>
      <c r="E97">
        <v>2.6069</v>
      </c>
      <c r="F97">
        <v>0</v>
      </c>
    </row>
    <row r="98" spans="1:6">
      <c r="A98" s="11">
        <v>43739</v>
      </c>
      <c r="B98">
        <v>11.876750514868601</v>
      </c>
      <c r="C98">
        <v>1.040856566868698</v>
      </c>
      <c r="D98">
        <v>2.219679975381089</v>
      </c>
      <c r="E98">
        <v>2.351</v>
      </c>
      <c r="F98">
        <v>0</v>
      </c>
    </row>
    <row r="99" spans="1:6">
      <c r="A99" s="11">
        <v>43831</v>
      </c>
      <c r="B99">
        <v>11.720100084896311</v>
      </c>
      <c r="C99">
        <v>2.0348489495703781</v>
      </c>
      <c r="D99">
        <v>2.067214791608651</v>
      </c>
      <c r="E99">
        <v>2.110233333333333</v>
      </c>
      <c r="F99">
        <v>19.932087912087908</v>
      </c>
    </row>
    <row r="100" spans="1:6">
      <c r="A100" s="11">
        <v>43922</v>
      </c>
      <c r="B100">
        <v>11.4724435896862</v>
      </c>
      <c r="C100">
        <v>2.1274118719430519</v>
      </c>
      <c r="D100">
        <v>1.739581114940786</v>
      </c>
      <c r="E100">
        <v>0.34129999999999999</v>
      </c>
      <c r="F100">
        <v>92.477252747252749</v>
      </c>
    </row>
    <row r="101" spans="1:6">
      <c r="A101" s="11">
        <v>44013</v>
      </c>
      <c r="B101">
        <v>11.744954059127689</v>
      </c>
      <c r="C101">
        <v>1.1513682047334941</v>
      </c>
      <c r="D101">
        <v>1.588621398278905</v>
      </c>
      <c r="E101">
        <v>0.15106666666666671</v>
      </c>
      <c r="F101">
        <v>82.409891304347823</v>
      </c>
    </row>
    <row r="102" spans="1:6">
      <c r="A102" s="11">
        <v>44105</v>
      </c>
      <c r="B102">
        <v>11.8637444854084</v>
      </c>
      <c r="C102">
        <v>1.5555016556972221</v>
      </c>
      <c r="D102">
        <v>1.7172826704860371</v>
      </c>
      <c r="E102">
        <v>0.22159999999999999</v>
      </c>
      <c r="F102">
        <v>74.435869565217402</v>
      </c>
    </row>
    <row r="103" spans="1:6">
      <c r="A103" s="11">
        <v>44197</v>
      </c>
      <c r="B103">
        <v>11.761275068687279</v>
      </c>
      <c r="C103">
        <v>1.878104736503206</v>
      </c>
      <c r="D103">
        <v>1.678096617219244</v>
      </c>
      <c r="E103">
        <v>0.21479999999999999</v>
      </c>
      <c r="F103">
        <v>68.663333333333327</v>
      </c>
    </row>
    <row r="104" spans="1:6">
      <c r="A104" s="11">
        <v>44287</v>
      </c>
      <c r="B104">
        <v>11.823301701204629</v>
      </c>
      <c r="C104">
        <v>2.8647811352527031</v>
      </c>
      <c r="D104">
        <v>1.862438933046656</v>
      </c>
      <c r="E104">
        <v>0.2496666666666667</v>
      </c>
      <c r="F104">
        <v>64.496483516483522</v>
      </c>
    </row>
    <row r="105" spans="1:6">
      <c r="A105" s="11">
        <v>44378</v>
      </c>
      <c r="B105">
        <v>11.855418180805049</v>
      </c>
      <c r="C105">
        <v>4.096621741557338</v>
      </c>
      <c r="D105">
        <v>2.5987523172526168</v>
      </c>
      <c r="E105">
        <v>0.50413333333333332</v>
      </c>
      <c r="F105">
        <v>62.459782608695647</v>
      </c>
    </row>
    <row r="106" spans="1:6">
      <c r="A106" s="11">
        <v>44470</v>
      </c>
      <c r="B106">
        <v>11.89720647411772</v>
      </c>
      <c r="C106">
        <v>5.0677311966635497</v>
      </c>
      <c r="D106">
        <v>3.4768097024941991</v>
      </c>
      <c r="E106">
        <v>1.753866666666666</v>
      </c>
      <c r="F106">
        <v>57.427282608695663</v>
      </c>
    </row>
    <row r="107" spans="1:6">
      <c r="A107" s="11">
        <v>44562</v>
      </c>
      <c r="B107">
        <v>11.799581469234059</v>
      </c>
      <c r="C107">
        <v>4.9666559142316444</v>
      </c>
      <c r="D107">
        <v>4.2489474969263084</v>
      </c>
      <c r="E107">
        <v>3.405133333333334</v>
      </c>
      <c r="F107">
        <v>45.002333333333333</v>
      </c>
    </row>
    <row r="108" spans="1:6">
      <c r="A108" s="11">
        <v>44652</v>
      </c>
      <c r="B108">
        <v>11.85690412572472</v>
      </c>
      <c r="C108">
        <v>7.6594889848477621</v>
      </c>
      <c r="D108">
        <v>5.4476244593250733</v>
      </c>
      <c r="E108">
        <v>4.8749000000000002</v>
      </c>
      <c r="F108">
        <v>33.169780219780208</v>
      </c>
    </row>
    <row r="109" spans="1:6">
      <c r="A109" s="11">
        <v>44743</v>
      </c>
      <c r="B109">
        <v>11.8757068269113</v>
      </c>
      <c r="C109">
        <v>7.2738994680073832</v>
      </c>
      <c r="D109">
        <v>6.2419438909375842</v>
      </c>
      <c r="E109">
        <v>6.2822333333333331</v>
      </c>
      <c r="F109">
        <v>28.48467391304348</v>
      </c>
    </row>
    <row r="110" spans="1:6">
      <c r="A110" s="11">
        <v>44835</v>
      </c>
      <c r="B110">
        <v>11.9171554465385</v>
      </c>
      <c r="C110">
        <v>5.9637052142091473</v>
      </c>
      <c r="D110">
        <v>6.4659373953239836</v>
      </c>
      <c r="E110">
        <v>7.2093333333333334</v>
      </c>
      <c r="F110">
        <v>14.512608695652171</v>
      </c>
    </row>
    <row r="111" spans="1:6">
      <c r="A111" s="11">
        <v>44927</v>
      </c>
      <c r="B111">
        <v>11.79823471369097</v>
      </c>
      <c r="C111">
        <v>5.7531492122205652</v>
      </c>
      <c r="D111">
        <v>6.6625607198212151</v>
      </c>
      <c r="E111">
        <v>7.713566666666666</v>
      </c>
      <c r="F111">
        <v>11.610086956521741</v>
      </c>
    </row>
    <row r="112" spans="1:6">
      <c r="A112" s="11">
        <v>45017</v>
      </c>
      <c r="B112">
        <v>11.85226955106724</v>
      </c>
      <c r="C112">
        <v>6.9689148787723587</v>
      </c>
      <c r="D112">
        <v>6.4899171933023636</v>
      </c>
      <c r="E112">
        <v>7.7361000000000004</v>
      </c>
      <c r="F112">
        <v>8.7075652173913038</v>
      </c>
    </row>
    <row r="113" spans="1:6">
      <c r="A113" s="11">
        <v>45108</v>
      </c>
      <c r="B113">
        <v>11.86884407345736</v>
      </c>
      <c r="C113">
        <v>3.905968557159611</v>
      </c>
      <c r="D113">
        <v>5.6479344655904207</v>
      </c>
      <c r="E113">
        <v>7.6985666666666672</v>
      </c>
      <c r="F113">
        <v>5.8050434782608704</v>
      </c>
    </row>
    <row r="114" spans="1:6">
      <c r="A114" s="11">
        <v>45200</v>
      </c>
      <c r="B114">
        <v>11.91397871887593</v>
      </c>
      <c r="C114">
        <v>2.5504462166789481</v>
      </c>
      <c r="D114">
        <v>4.7946197162078708</v>
      </c>
      <c r="E114">
        <v>7.0760999999999994</v>
      </c>
      <c r="F114">
        <v>2.9025217391304352</v>
      </c>
    </row>
    <row r="115" spans="1:6">
      <c r="A115" s="11">
        <v>45292</v>
      </c>
      <c r="B115">
        <v>11.811954559771451</v>
      </c>
      <c r="C115">
        <v>3.2766854046703209</v>
      </c>
      <c r="D115">
        <v>4.1755037643203092</v>
      </c>
      <c r="E115">
        <v>6.3992333333333322</v>
      </c>
      <c r="F115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CCC8-645F-450B-86D4-D8F7424BFCDB}">
  <sheetPr>
    <tabColor theme="5" tint="0.79998168889431442"/>
  </sheetPr>
  <dimension ref="A1:G86"/>
  <sheetViews>
    <sheetView workbookViewId="0">
      <selection activeCell="G30" sqref="G30"/>
    </sheetView>
  </sheetViews>
  <sheetFormatPr defaultRowHeight="15"/>
  <cols>
    <col min="1" max="1" width="15.625" bestFit="1" customWidth="1"/>
  </cols>
  <sheetData>
    <row r="1" spans="1:7">
      <c r="A1" s="13" t="s">
        <v>38</v>
      </c>
      <c r="B1" s="13" t="s">
        <v>46</v>
      </c>
      <c r="C1" s="13" t="s">
        <v>53</v>
      </c>
      <c r="D1" s="12" t="s">
        <v>52</v>
      </c>
      <c r="E1" s="13" t="s">
        <v>54</v>
      </c>
      <c r="F1" s="13" t="s">
        <v>51</v>
      </c>
      <c r="G1" s="13" t="s">
        <v>55</v>
      </c>
    </row>
    <row r="2" spans="1:7">
      <c r="A2" s="11">
        <v>37987</v>
      </c>
      <c r="B2">
        <v>0.41366194609342433</v>
      </c>
      <c r="C2">
        <v>0.90820767831990556</v>
      </c>
      <c r="D2" s="14">
        <v>1.7766666666666699</v>
      </c>
      <c r="E2">
        <v>10.22096358897603</v>
      </c>
      <c r="F2">
        <v>0</v>
      </c>
      <c r="G2">
        <v>1.78968253968254</v>
      </c>
    </row>
    <row r="3" spans="1:7">
      <c r="A3" s="11">
        <v>38078</v>
      </c>
      <c r="B3">
        <v>1.663920213010051</v>
      </c>
      <c r="C3">
        <v>0.3452620485291269</v>
      </c>
      <c r="D3" s="14">
        <v>1.7466666666666699</v>
      </c>
      <c r="E3">
        <v>10.240005288537009</v>
      </c>
      <c r="F3">
        <v>0</v>
      </c>
      <c r="G3">
        <v>1.75</v>
      </c>
    </row>
    <row r="4" spans="1:7">
      <c r="A4" s="11">
        <v>38169</v>
      </c>
      <c r="B4">
        <v>1.1885604917418751</v>
      </c>
      <c r="C4">
        <v>0.71043257787264391</v>
      </c>
      <c r="D4" s="14">
        <v>1.8</v>
      </c>
      <c r="E4">
        <v>10.265850130207941</v>
      </c>
      <c r="F4">
        <v>0</v>
      </c>
      <c r="G4">
        <v>1.813492063492063</v>
      </c>
    </row>
    <row r="5" spans="1:7">
      <c r="A5" s="11">
        <v>38261</v>
      </c>
      <c r="B5">
        <v>0.76634491992182419</v>
      </c>
      <c r="C5">
        <v>1.008121892691793</v>
      </c>
      <c r="D5" s="14">
        <v>2.1866666666666701</v>
      </c>
      <c r="E5">
        <v>10.281942561411871</v>
      </c>
      <c r="F5">
        <v>0</v>
      </c>
      <c r="G5">
        <v>2.1333333333333329</v>
      </c>
    </row>
    <row r="6" spans="1:7">
      <c r="A6" s="11">
        <v>38353</v>
      </c>
      <c r="B6">
        <v>1.693684019734865</v>
      </c>
      <c r="C6">
        <v>1.328127411102153</v>
      </c>
      <c r="D6" s="14">
        <v>2.6466666666666701</v>
      </c>
      <c r="E6">
        <v>10.283073257424491</v>
      </c>
      <c r="F6">
        <v>0</v>
      </c>
      <c r="G6">
        <v>2.605555555555557</v>
      </c>
    </row>
    <row r="7" spans="1:7">
      <c r="A7" s="11">
        <v>38443</v>
      </c>
      <c r="B7">
        <v>3.2142210983202579</v>
      </c>
      <c r="C7">
        <v>1.7157026324297051</v>
      </c>
      <c r="D7" s="14">
        <v>3.2066666666666701</v>
      </c>
      <c r="E7">
        <v>10.29954447848745</v>
      </c>
      <c r="F7">
        <v>0</v>
      </c>
      <c r="G7">
        <v>3.1111111111111098</v>
      </c>
    </row>
    <row r="8" spans="1:7">
      <c r="A8" s="11">
        <v>38534</v>
      </c>
      <c r="B8">
        <v>2.3661055685170411</v>
      </c>
      <c r="C8">
        <v>2.0100889016234968</v>
      </c>
      <c r="D8" s="14">
        <v>3.69</v>
      </c>
      <c r="E8">
        <v>10.323566803538419</v>
      </c>
      <c r="F8">
        <v>0</v>
      </c>
      <c r="G8">
        <v>3.6603535353535328</v>
      </c>
    </row>
    <row r="9" spans="1:7">
      <c r="A9" s="11">
        <v>38626</v>
      </c>
      <c r="B9">
        <v>2.4562233792382089</v>
      </c>
      <c r="C9">
        <v>2.4325585164525929</v>
      </c>
      <c r="D9" s="14">
        <v>4.35666666666667</v>
      </c>
      <c r="E9">
        <v>10.335518410853661</v>
      </c>
      <c r="F9">
        <v>0</v>
      </c>
      <c r="G9">
        <v>4.3638888888888898</v>
      </c>
    </row>
    <row r="10" spans="1:7">
      <c r="A10" s="11">
        <v>38718</v>
      </c>
      <c r="B10">
        <v>2.5889506877496249</v>
      </c>
      <c r="C10">
        <v>2.6563751834562841</v>
      </c>
      <c r="D10" s="14">
        <v>4.5933333333333302</v>
      </c>
      <c r="E10">
        <v>10.344521472703899</v>
      </c>
      <c r="F10">
        <v>0</v>
      </c>
      <c r="G10">
        <v>4.6375000000000002</v>
      </c>
    </row>
    <row r="11" spans="1:7">
      <c r="A11" s="11">
        <v>38808</v>
      </c>
      <c r="B11">
        <v>5.0582960540255462</v>
      </c>
      <c r="C11">
        <v>3.1173939223826048</v>
      </c>
      <c r="D11" s="14">
        <v>4.9633333333333303</v>
      </c>
      <c r="E11">
        <v>10.365066893882441</v>
      </c>
      <c r="F11">
        <v>0</v>
      </c>
      <c r="G11">
        <v>4.9605263157894726</v>
      </c>
    </row>
    <row r="12" spans="1:7">
      <c r="A12" s="11">
        <v>38899</v>
      </c>
      <c r="B12">
        <v>1.480946656461346</v>
      </c>
      <c r="C12">
        <v>2.8961041943686809</v>
      </c>
      <c r="D12" s="14">
        <v>5.2333333333333298</v>
      </c>
      <c r="E12">
        <v>10.37858857221442</v>
      </c>
      <c r="F12">
        <v>0</v>
      </c>
      <c r="G12">
        <v>5.2142857142857126</v>
      </c>
    </row>
    <row r="13" spans="1:7">
      <c r="A13" s="11">
        <v>38991</v>
      </c>
      <c r="B13">
        <v>1.7212990980342899</v>
      </c>
      <c r="C13">
        <v>2.7123731240677009</v>
      </c>
      <c r="D13" s="14">
        <v>5.2966666666666704</v>
      </c>
      <c r="E13">
        <v>10.399712201477071</v>
      </c>
      <c r="F13">
        <v>0</v>
      </c>
      <c r="G13">
        <v>5.25</v>
      </c>
    </row>
    <row r="14" spans="1:7">
      <c r="A14" s="11">
        <v>39083</v>
      </c>
      <c r="B14">
        <v>3.3706697221249859</v>
      </c>
      <c r="C14">
        <v>2.9078028826615419</v>
      </c>
      <c r="D14" s="14">
        <v>5.0833333333333304</v>
      </c>
      <c r="E14">
        <v>10.40992053179156</v>
      </c>
      <c r="F14">
        <v>0</v>
      </c>
      <c r="G14">
        <v>5.0303030303030303</v>
      </c>
    </row>
    <row r="15" spans="1:7">
      <c r="A15" s="11">
        <v>39173</v>
      </c>
      <c r="B15">
        <v>5.7162612553676384</v>
      </c>
      <c r="C15">
        <v>3.0722941829970649</v>
      </c>
      <c r="D15" s="14">
        <v>5.08</v>
      </c>
      <c r="E15">
        <v>10.42003620533419</v>
      </c>
      <c r="F15">
        <v>0</v>
      </c>
      <c r="G15">
        <v>5</v>
      </c>
    </row>
    <row r="16" spans="1:7">
      <c r="A16" s="11">
        <v>39264</v>
      </c>
      <c r="B16">
        <v>7.7061787298466911</v>
      </c>
      <c r="C16">
        <v>4.6286022013434014</v>
      </c>
      <c r="D16" s="14">
        <v>5.4533333333333296</v>
      </c>
      <c r="E16">
        <v>10.42278168474275</v>
      </c>
      <c r="F16">
        <v>0</v>
      </c>
      <c r="G16">
        <v>5.3960338680926938</v>
      </c>
    </row>
    <row r="17" spans="1:7">
      <c r="A17" s="11">
        <v>39356</v>
      </c>
      <c r="B17">
        <v>6.5708344581179912</v>
      </c>
      <c r="C17">
        <v>5.8409860413643271</v>
      </c>
      <c r="D17" s="14">
        <v>5.8133333333333299</v>
      </c>
      <c r="E17">
        <v>10.44140459887659</v>
      </c>
      <c r="F17">
        <v>0</v>
      </c>
      <c r="G17">
        <v>5.7938596491228074</v>
      </c>
    </row>
    <row r="18" spans="1:7">
      <c r="A18" s="11">
        <v>39448</v>
      </c>
      <c r="B18">
        <v>5.4508010565241127</v>
      </c>
      <c r="C18">
        <v>6.3610188749641079</v>
      </c>
      <c r="D18" s="14">
        <v>6.2233333333333301</v>
      </c>
      <c r="E18">
        <v>10.46225849592968</v>
      </c>
      <c r="F18">
        <v>0</v>
      </c>
      <c r="G18">
        <v>6.2234848484848504</v>
      </c>
    </row>
    <row r="19" spans="1:7">
      <c r="A19" s="11">
        <v>39539</v>
      </c>
      <c r="B19">
        <v>9.7656037956826314</v>
      </c>
      <c r="C19">
        <v>7.3733545100428568</v>
      </c>
      <c r="D19" s="14">
        <v>6.3866666666666703</v>
      </c>
      <c r="E19">
        <v>10.463245214411851</v>
      </c>
      <c r="F19">
        <v>0</v>
      </c>
      <c r="G19">
        <v>6.3611111111111098</v>
      </c>
    </row>
    <row r="20" spans="1:7">
      <c r="A20" s="11">
        <v>39630</v>
      </c>
      <c r="B20">
        <v>6.6266798970608276</v>
      </c>
      <c r="C20">
        <v>7.1034798018463912</v>
      </c>
      <c r="D20" s="14">
        <v>7.58</v>
      </c>
      <c r="E20">
        <v>10.45506289620937</v>
      </c>
      <c r="F20">
        <v>0</v>
      </c>
      <c r="G20">
        <v>7.5727272727272732</v>
      </c>
    </row>
    <row r="21" spans="1:7">
      <c r="A21" s="11">
        <v>39722</v>
      </c>
      <c r="B21">
        <v>7.4789905949594448</v>
      </c>
      <c r="C21">
        <v>7.3305188360567541</v>
      </c>
      <c r="D21" s="14">
        <v>8.24</v>
      </c>
      <c r="E21">
        <v>10.447000036662629</v>
      </c>
      <c r="F21">
        <v>0</v>
      </c>
      <c r="G21">
        <v>8.25</v>
      </c>
    </row>
    <row r="22" spans="1:7">
      <c r="A22" s="11">
        <v>39814</v>
      </c>
      <c r="B22">
        <v>5.557285012999591</v>
      </c>
      <c r="C22">
        <v>7.357139825175623</v>
      </c>
      <c r="D22" s="14">
        <v>5.4933333333333296</v>
      </c>
      <c r="E22">
        <v>10.44212452349956</v>
      </c>
      <c r="F22">
        <v>0</v>
      </c>
      <c r="G22">
        <v>5.5452741702741699</v>
      </c>
    </row>
    <row r="23" spans="1:7">
      <c r="A23" s="11">
        <v>39904</v>
      </c>
      <c r="B23">
        <v>3.2434942597900922</v>
      </c>
      <c r="C23">
        <v>5.726612441202489</v>
      </c>
      <c r="D23" s="14">
        <v>1.40333333333333</v>
      </c>
      <c r="E23">
        <v>10.436283913938141</v>
      </c>
      <c r="F23">
        <v>0</v>
      </c>
      <c r="G23">
        <v>1.4358813700919</v>
      </c>
    </row>
    <row r="24" spans="1:7">
      <c r="A24" s="11">
        <v>39995</v>
      </c>
      <c r="B24">
        <v>-1.185448831325475</v>
      </c>
      <c r="C24">
        <v>3.7735802591059131</v>
      </c>
      <c r="D24" s="14">
        <v>0.46333333333333299</v>
      </c>
      <c r="E24">
        <v>10.448176839003279</v>
      </c>
      <c r="F24">
        <v>0</v>
      </c>
      <c r="G24">
        <v>0.52651515151515171</v>
      </c>
    </row>
    <row r="25" spans="1:7">
      <c r="A25" s="11">
        <v>40087</v>
      </c>
      <c r="B25">
        <v>-0.27267537652110319</v>
      </c>
      <c r="C25">
        <v>1.835663766235776</v>
      </c>
      <c r="D25" s="14">
        <v>0.43</v>
      </c>
      <c r="E25">
        <v>10.460402050761029</v>
      </c>
      <c r="F25">
        <v>0</v>
      </c>
      <c r="G25">
        <v>0.5</v>
      </c>
    </row>
    <row r="26" spans="1:7">
      <c r="A26" s="11">
        <v>40179</v>
      </c>
      <c r="B26">
        <v>-1.768907228427707E-3</v>
      </c>
      <c r="C26">
        <v>0.44590028617877142</v>
      </c>
      <c r="D26" s="14">
        <v>0.42666666666666703</v>
      </c>
      <c r="E26">
        <v>10.46363181642136</v>
      </c>
      <c r="F26">
        <v>0</v>
      </c>
      <c r="G26">
        <v>0.5</v>
      </c>
    </row>
    <row r="27" spans="1:7">
      <c r="A27" s="11">
        <v>40269</v>
      </c>
      <c r="B27">
        <v>1.0474917103770349</v>
      </c>
      <c r="C27">
        <v>-0.1031003511744927</v>
      </c>
      <c r="D27" s="14">
        <v>0.51333333333333298</v>
      </c>
      <c r="E27">
        <v>10.49700292867097</v>
      </c>
      <c r="F27">
        <v>0</v>
      </c>
      <c r="G27">
        <v>0.57936507936507942</v>
      </c>
    </row>
    <row r="28" spans="1:7">
      <c r="A28" s="11">
        <v>40360</v>
      </c>
      <c r="B28">
        <v>1.434560449596112</v>
      </c>
      <c r="C28">
        <v>0.55190196905590405</v>
      </c>
      <c r="D28" s="14">
        <v>1.76</v>
      </c>
      <c r="E28">
        <v>10.520205475964611</v>
      </c>
      <c r="F28">
        <v>0</v>
      </c>
      <c r="G28">
        <v>1.744516594516597</v>
      </c>
    </row>
    <row r="29" spans="1:7">
      <c r="A29" s="11">
        <v>40452</v>
      </c>
      <c r="B29">
        <v>1.364543487497349</v>
      </c>
      <c r="C29">
        <v>0.96120668506051721</v>
      </c>
      <c r="D29" s="14">
        <v>2.9066666666666698</v>
      </c>
      <c r="E29">
        <v>10.532033897130409</v>
      </c>
      <c r="F29">
        <v>0</v>
      </c>
      <c r="G29">
        <v>2.8751984126984129</v>
      </c>
    </row>
    <row r="30" spans="1:7">
      <c r="A30" s="11">
        <v>40544</v>
      </c>
      <c r="B30">
        <v>1.679075629792282</v>
      </c>
      <c r="C30">
        <v>1.381417819315695</v>
      </c>
      <c r="D30" s="14">
        <v>3.4366666666666701</v>
      </c>
      <c r="E30">
        <v>10.543623039389709</v>
      </c>
      <c r="F30">
        <v>0</v>
      </c>
      <c r="G30">
        <v>3.4349637681159439</v>
      </c>
    </row>
    <row r="31" spans="1:7">
      <c r="A31" s="11">
        <v>40634</v>
      </c>
      <c r="B31">
        <v>3.659283365479848</v>
      </c>
      <c r="C31">
        <v>2.034365733091398</v>
      </c>
      <c r="D31" s="14">
        <v>4.7366666666666699</v>
      </c>
      <c r="E31">
        <v>10.557888839255771</v>
      </c>
      <c r="F31">
        <v>0</v>
      </c>
      <c r="G31">
        <v>4.7421356421356444</v>
      </c>
    </row>
    <row r="32" spans="1:7">
      <c r="A32" s="11">
        <v>40725</v>
      </c>
      <c r="B32">
        <v>1.5115010566778331</v>
      </c>
      <c r="C32">
        <v>2.0536008848618281</v>
      </c>
      <c r="D32" s="14">
        <v>5.2466666666666697</v>
      </c>
      <c r="E32">
        <v>10.56428224644068</v>
      </c>
      <c r="F32">
        <v>0</v>
      </c>
      <c r="G32">
        <v>5.25</v>
      </c>
    </row>
    <row r="33" spans="1:7">
      <c r="A33" s="11">
        <v>40817</v>
      </c>
      <c r="B33">
        <v>2.3839880425668092</v>
      </c>
      <c r="C33">
        <v>2.3084620236291928</v>
      </c>
      <c r="D33" s="14">
        <v>5.2433333333333296</v>
      </c>
      <c r="E33">
        <v>10.58579770414746</v>
      </c>
      <c r="F33">
        <v>0</v>
      </c>
      <c r="G33">
        <v>5.25</v>
      </c>
    </row>
    <row r="34" spans="1:7">
      <c r="A34" s="11">
        <v>40909</v>
      </c>
      <c r="B34">
        <v>4.2784020045242288</v>
      </c>
      <c r="C34">
        <v>2.9582936173121799</v>
      </c>
      <c r="D34" s="14">
        <v>5.01</v>
      </c>
      <c r="E34">
        <v>10.606142478377651</v>
      </c>
      <c r="F34">
        <v>0</v>
      </c>
      <c r="G34">
        <v>5.0340909090909101</v>
      </c>
    </row>
    <row r="35" spans="1:7">
      <c r="A35" s="11">
        <v>41000</v>
      </c>
      <c r="B35">
        <v>2.89986482063469</v>
      </c>
      <c r="C35">
        <v>2.76843898110089</v>
      </c>
      <c r="D35" s="14">
        <v>5.0133333333333301</v>
      </c>
      <c r="E35">
        <v>10.62450812271897</v>
      </c>
      <c r="F35">
        <v>0</v>
      </c>
      <c r="G35">
        <v>5</v>
      </c>
    </row>
    <row r="36" spans="1:7">
      <c r="A36" s="11">
        <v>41091</v>
      </c>
      <c r="B36">
        <v>1.120952895333627</v>
      </c>
      <c r="C36">
        <v>2.670801940764838</v>
      </c>
      <c r="D36" s="14">
        <v>4.9933333333333296</v>
      </c>
      <c r="E36">
        <v>10.63224942580632</v>
      </c>
      <c r="F36">
        <v>0</v>
      </c>
      <c r="G36">
        <v>5</v>
      </c>
    </row>
    <row r="37" spans="1:7">
      <c r="A37" s="11">
        <v>41183</v>
      </c>
      <c r="B37">
        <v>2.460648288241241</v>
      </c>
      <c r="C37">
        <v>2.689967002183447</v>
      </c>
      <c r="D37" s="14">
        <v>5.0066666666666704</v>
      </c>
      <c r="E37">
        <v>10.63816823838726</v>
      </c>
      <c r="F37">
        <v>0</v>
      </c>
      <c r="G37">
        <v>5</v>
      </c>
    </row>
    <row r="38" spans="1:7">
      <c r="A38" s="11">
        <v>41275</v>
      </c>
      <c r="B38">
        <v>2.780529099370566</v>
      </c>
      <c r="C38">
        <v>2.3154987758950312</v>
      </c>
      <c r="D38" s="14">
        <v>5.0033333333333303</v>
      </c>
      <c r="E38">
        <v>10.64650318834923</v>
      </c>
      <c r="F38">
        <v>0</v>
      </c>
      <c r="G38">
        <v>5</v>
      </c>
    </row>
    <row r="39" spans="1:7">
      <c r="A39" s="11">
        <v>41365</v>
      </c>
      <c r="B39">
        <v>2.6390329406927431</v>
      </c>
      <c r="C39">
        <v>2.2502908059095441</v>
      </c>
      <c r="D39" s="14">
        <v>5.0066666666666704</v>
      </c>
      <c r="E39">
        <v>10.65337035711187</v>
      </c>
      <c r="F39">
        <v>0</v>
      </c>
      <c r="G39">
        <v>5</v>
      </c>
    </row>
    <row r="40" spans="1:7">
      <c r="A40" s="11">
        <v>41456</v>
      </c>
      <c r="B40">
        <v>1.4272482696503721</v>
      </c>
      <c r="C40">
        <v>2.32686464948873</v>
      </c>
      <c r="D40" s="14">
        <v>5.01</v>
      </c>
      <c r="E40">
        <v>10.661040811794409</v>
      </c>
      <c r="F40">
        <v>0</v>
      </c>
      <c r="G40">
        <v>5</v>
      </c>
    </row>
    <row r="41" spans="1:7">
      <c r="A41" s="11">
        <v>41548</v>
      </c>
      <c r="B41">
        <v>3.982577323478353</v>
      </c>
      <c r="C41">
        <v>2.7073469082980091</v>
      </c>
      <c r="D41" s="14">
        <v>4.68333333333333</v>
      </c>
      <c r="E41">
        <v>10.66523521437988</v>
      </c>
      <c r="F41">
        <v>0</v>
      </c>
      <c r="G41">
        <v>4.6825757575757567</v>
      </c>
    </row>
    <row r="42" spans="1:7">
      <c r="A42" s="11">
        <v>41640</v>
      </c>
      <c r="B42">
        <v>4.6022133477742422</v>
      </c>
      <c r="C42">
        <v>3.162767970398928</v>
      </c>
      <c r="D42" s="14">
        <v>4.3333333333333304</v>
      </c>
      <c r="E42">
        <v>10.667139148078929</v>
      </c>
      <c r="F42">
        <v>0</v>
      </c>
      <c r="G42">
        <v>4.3357142857142863</v>
      </c>
    </row>
    <row r="43" spans="1:7">
      <c r="A43" s="11">
        <v>41730</v>
      </c>
      <c r="B43">
        <v>7.8326956376030044</v>
      </c>
      <c r="C43">
        <v>4.4611836446264928</v>
      </c>
      <c r="D43" s="14">
        <v>4</v>
      </c>
      <c r="E43">
        <v>10.67381549036525</v>
      </c>
      <c r="F43">
        <v>0</v>
      </c>
      <c r="G43">
        <v>4</v>
      </c>
    </row>
    <row r="44" spans="1:7">
      <c r="A44" s="11">
        <v>41821</v>
      </c>
      <c r="B44">
        <v>2.6498049574896991</v>
      </c>
      <c r="C44">
        <v>4.7668228165863251</v>
      </c>
      <c r="D44" s="14">
        <v>3.62</v>
      </c>
      <c r="E44">
        <v>10.67040778809559</v>
      </c>
      <c r="F44">
        <v>0</v>
      </c>
      <c r="G44">
        <v>3.620833333333334</v>
      </c>
    </row>
    <row r="45" spans="1:7">
      <c r="A45" s="11">
        <v>41913</v>
      </c>
      <c r="B45">
        <v>4.8949245320505819</v>
      </c>
      <c r="C45">
        <v>4.9949096187293813</v>
      </c>
      <c r="D45" s="14">
        <v>3.0533333333333301</v>
      </c>
      <c r="E45">
        <v>10.682991417701629</v>
      </c>
      <c r="F45">
        <v>0</v>
      </c>
      <c r="G45">
        <v>3.0454545454545472</v>
      </c>
    </row>
    <row r="46" spans="1:7">
      <c r="A46" s="11">
        <v>42005</v>
      </c>
      <c r="B46">
        <v>5.0794100537510767</v>
      </c>
      <c r="C46">
        <v>5.1142087952235897</v>
      </c>
      <c r="D46" s="14">
        <v>3</v>
      </c>
      <c r="E46">
        <v>10.68799060084298</v>
      </c>
      <c r="F46">
        <v>0</v>
      </c>
      <c r="G46">
        <v>3</v>
      </c>
    </row>
    <row r="47" spans="1:7">
      <c r="A47" s="11">
        <v>42095</v>
      </c>
      <c r="B47">
        <v>7.4349084280074704</v>
      </c>
      <c r="C47">
        <v>5.0147619928247069</v>
      </c>
      <c r="D47" s="14">
        <v>3</v>
      </c>
      <c r="E47">
        <v>10.69656702479972</v>
      </c>
      <c r="F47">
        <v>0</v>
      </c>
      <c r="G47">
        <v>3</v>
      </c>
    </row>
    <row r="48" spans="1:7">
      <c r="A48" s="11">
        <v>42186</v>
      </c>
      <c r="B48">
        <v>4.1677821693602679</v>
      </c>
      <c r="C48">
        <v>5.3942562957923492</v>
      </c>
      <c r="D48" s="14">
        <v>3</v>
      </c>
      <c r="E48">
        <v>10.69323105642637</v>
      </c>
      <c r="F48">
        <v>0</v>
      </c>
      <c r="G48">
        <v>3</v>
      </c>
    </row>
    <row r="49" spans="1:7">
      <c r="A49" s="11">
        <v>42278</v>
      </c>
      <c r="B49">
        <v>4.3498113951268236</v>
      </c>
      <c r="C49">
        <v>5.2579780115614092</v>
      </c>
      <c r="D49" s="14">
        <v>3.2433333333333301</v>
      </c>
      <c r="E49">
        <v>10.70197424827869</v>
      </c>
      <c r="F49">
        <v>0</v>
      </c>
      <c r="G49">
        <v>3.2436507936507941</v>
      </c>
    </row>
    <row r="50" spans="1:7">
      <c r="A50" s="11">
        <v>42370</v>
      </c>
      <c r="B50">
        <v>4.0210843673961882</v>
      </c>
      <c r="C50">
        <v>4.9933965899726873</v>
      </c>
      <c r="D50" s="14">
        <v>3.5</v>
      </c>
      <c r="E50">
        <v>10.71183411439393</v>
      </c>
      <c r="F50">
        <v>0</v>
      </c>
      <c r="G50">
        <v>3.5</v>
      </c>
    </row>
    <row r="51" spans="1:7">
      <c r="A51" s="11">
        <v>42461</v>
      </c>
      <c r="B51">
        <v>5.4687631056014707</v>
      </c>
      <c r="C51">
        <v>4.5018602593711874</v>
      </c>
      <c r="D51" s="14">
        <v>3.5</v>
      </c>
      <c r="E51">
        <v>10.70629502255154</v>
      </c>
      <c r="F51">
        <v>0</v>
      </c>
      <c r="G51">
        <v>3.5</v>
      </c>
    </row>
    <row r="52" spans="1:7">
      <c r="A52" s="11">
        <v>42552</v>
      </c>
      <c r="B52">
        <v>2.1861853058807501</v>
      </c>
      <c r="C52">
        <v>4.0064610435013082</v>
      </c>
      <c r="D52" s="14">
        <v>3.5</v>
      </c>
      <c r="E52">
        <v>10.71306059376923</v>
      </c>
      <c r="F52">
        <v>0</v>
      </c>
      <c r="G52">
        <v>3.5</v>
      </c>
    </row>
    <row r="53" spans="1:7">
      <c r="A53" s="11">
        <v>42644</v>
      </c>
      <c r="B53">
        <v>1.1143881259109369</v>
      </c>
      <c r="C53">
        <v>3.1976052261973371</v>
      </c>
      <c r="D53" s="14">
        <v>3.4933333333333301</v>
      </c>
      <c r="E53">
        <v>10.71348666933441</v>
      </c>
      <c r="F53">
        <v>0</v>
      </c>
      <c r="G53">
        <v>3.5</v>
      </c>
    </row>
    <row r="54" spans="1:7">
      <c r="A54" s="11">
        <v>42736</v>
      </c>
      <c r="B54">
        <v>3.4028269510640858</v>
      </c>
      <c r="C54">
        <v>3.043040872114311</v>
      </c>
      <c r="D54" s="14">
        <v>3.28</v>
      </c>
      <c r="E54">
        <v>10.705632420167239</v>
      </c>
      <c r="F54">
        <v>0</v>
      </c>
      <c r="G54">
        <v>3.2617322291235329</v>
      </c>
    </row>
    <row r="55" spans="1:7">
      <c r="A55" s="11">
        <v>42826</v>
      </c>
      <c r="B55">
        <v>3.9292940749482201</v>
      </c>
      <c r="C55">
        <v>2.6581736144509982</v>
      </c>
      <c r="D55" s="14">
        <v>2.6733333333333298</v>
      </c>
      <c r="E55">
        <v>10.71863489288349</v>
      </c>
      <c r="F55">
        <v>0</v>
      </c>
      <c r="G55">
        <v>2.674242424242423</v>
      </c>
    </row>
    <row r="56" spans="1:7">
      <c r="A56" s="11">
        <v>42917</v>
      </c>
      <c r="B56">
        <v>0.61415074263191372</v>
      </c>
      <c r="C56">
        <v>2.2651649736387891</v>
      </c>
      <c r="D56" s="14">
        <v>2.5</v>
      </c>
      <c r="E56">
        <v>10.736931092658599</v>
      </c>
      <c r="F56">
        <v>0</v>
      </c>
      <c r="G56">
        <v>2.5</v>
      </c>
    </row>
    <row r="57" spans="1:7">
      <c r="A57" s="11">
        <v>43009</v>
      </c>
      <c r="B57">
        <v>0.88938256703583463</v>
      </c>
      <c r="C57">
        <v>2.208913583920014</v>
      </c>
      <c r="D57" s="14">
        <v>2.5</v>
      </c>
      <c r="E57">
        <v>10.746647479623149</v>
      </c>
      <c r="F57">
        <v>0</v>
      </c>
      <c r="G57">
        <v>2.5</v>
      </c>
    </row>
    <row r="58" spans="1:7">
      <c r="A58" s="11">
        <v>43101</v>
      </c>
      <c r="B58">
        <v>2.1337495169670539</v>
      </c>
      <c r="C58">
        <v>1.8916442253957551</v>
      </c>
      <c r="D58" s="14">
        <v>2.4966666666666701</v>
      </c>
      <c r="E58">
        <v>10.75533206535979</v>
      </c>
      <c r="F58">
        <v>0</v>
      </c>
      <c r="G58">
        <v>2.5</v>
      </c>
    </row>
    <row r="59" spans="1:7">
      <c r="A59" s="11">
        <v>43191</v>
      </c>
      <c r="B59">
        <v>3.9083950806852119</v>
      </c>
      <c r="C59">
        <v>1.886419476830004</v>
      </c>
      <c r="D59" s="14">
        <v>2.4933333333333301</v>
      </c>
      <c r="E59">
        <v>10.768765982244471</v>
      </c>
      <c r="F59">
        <v>0</v>
      </c>
      <c r="G59">
        <v>2.5</v>
      </c>
    </row>
    <row r="60" spans="1:7">
      <c r="A60" s="11">
        <v>43282</v>
      </c>
      <c r="B60">
        <v>1.6294395472046921</v>
      </c>
      <c r="C60">
        <v>2.1402416779731981</v>
      </c>
      <c r="D60" s="14">
        <v>2.4966666666666701</v>
      </c>
      <c r="E60">
        <v>10.76384947736566</v>
      </c>
      <c r="F60">
        <v>0</v>
      </c>
      <c r="G60">
        <v>2.5</v>
      </c>
    </row>
    <row r="61" spans="1:7">
      <c r="A61" s="11">
        <v>43374</v>
      </c>
      <c r="B61">
        <v>1.3139126947839139</v>
      </c>
      <c r="C61">
        <v>2.246374209910218</v>
      </c>
      <c r="D61" s="14">
        <v>2.7</v>
      </c>
      <c r="E61">
        <v>10.77843949066556</v>
      </c>
      <c r="F61">
        <v>0</v>
      </c>
      <c r="G61">
        <v>2.700757575757577</v>
      </c>
    </row>
    <row r="62" spans="1:7">
      <c r="A62" s="11">
        <v>43466</v>
      </c>
      <c r="B62">
        <v>3.1128556690670721</v>
      </c>
      <c r="C62">
        <v>2.491150747935222</v>
      </c>
      <c r="D62" s="14">
        <v>2.92</v>
      </c>
      <c r="E62">
        <v>10.77076540470043</v>
      </c>
      <c r="F62">
        <v>0</v>
      </c>
      <c r="G62">
        <v>2.9204545454545472</v>
      </c>
    </row>
    <row r="63" spans="1:7">
      <c r="A63" s="11">
        <v>43556</v>
      </c>
      <c r="B63">
        <v>3.5738168987483609</v>
      </c>
      <c r="C63">
        <v>2.407506202451009</v>
      </c>
      <c r="D63" s="14">
        <v>2.87333333333333</v>
      </c>
      <c r="E63">
        <v>10.78453994676876</v>
      </c>
      <c r="F63">
        <v>0</v>
      </c>
      <c r="G63">
        <v>2.875</v>
      </c>
    </row>
    <row r="64" spans="1:7">
      <c r="A64" s="11">
        <v>43647</v>
      </c>
      <c r="B64">
        <v>1.3372479115154821</v>
      </c>
      <c r="C64">
        <v>2.3344582935287068</v>
      </c>
      <c r="D64" s="14">
        <v>2.3466666666666698</v>
      </c>
      <c r="E64">
        <v>10.78625208733102</v>
      </c>
      <c r="F64">
        <v>0</v>
      </c>
      <c r="G64">
        <v>2.351851851851853</v>
      </c>
    </row>
    <row r="65" spans="1:7">
      <c r="A65" s="11">
        <v>43739</v>
      </c>
      <c r="B65">
        <v>1.85907568797008</v>
      </c>
      <c r="C65">
        <v>2.4707490418252491</v>
      </c>
      <c r="D65" s="14">
        <v>1.78666666666667</v>
      </c>
      <c r="E65">
        <v>10.746081276169461</v>
      </c>
      <c r="F65">
        <v>0</v>
      </c>
      <c r="G65">
        <v>1.8143939393939399</v>
      </c>
    </row>
    <row r="66" spans="1:7">
      <c r="A66" s="11">
        <v>43831</v>
      </c>
      <c r="B66">
        <v>3.4076325542000241</v>
      </c>
      <c r="C66">
        <v>2.5444432631084868</v>
      </c>
      <c r="D66" s="14">
        <v>1.63666666666667</v>
      </c>
      <c r="E66">
        <v>10.764890140942979</v>
      </c>
      <c r="F66">
        <v>11.569120879120799</v>
      </c>
      <c r="G66">
        <v>1.625</v>
      </c>
    </row>
    <row r="67" spans="1:7">
      <c r="A67" s="11">
        <v>43922</v>
      </c>
      <c r="B67">
        <v>3.74776607274665</v>
      </c>
      <c r="C67">
        <v>2.5879305566080588</v>
      </c>
      <c r="D67" s="14">
        <v>0.48666666666666702</v>
      </c>
      <c r="E67">
        <v>10.629432359441619</v>
      </c>
      <c r="F67">
        <v>78.701208791208799</v>
      </c>
      <c r="G67">
        <v>0.5</v>
      </c>
    </row>
    <row r="68" spans="1:7">
      <c r="A68" s="11">
        <v>44013</v>
      </c>
      <c r="B68">
        <v>1.6505577378044261</v>
      </c>
      <c r="C68">
        <v>2.6662580131802951</v>
      </c>
      <c r="D68" s="14">
        <v>0.38333333333333303</v>
      </c>
      <c r="E68">
        <v>10.678947336177499</v>
      </c>
      <c r="F68">
        <v>88.436956521739106</v>
      </c>
      <c r="G68">
        <v>0.5</v>
      </c>
    </row>
    <row r="69" spans="1:7">
      <c r="A69" s="11">
        <v>44105</v>
      </c>
      <c r="B69">
        <v>4.0233485163491123</v>
      </c>
      <c r="C69">
        <v>3.207326220275053</v>
      </c>
      <c r="D69" s="14">
        <v>0.3</v>
      </c>
      <c r="E69">
        <v>10.745795800556641</v>
      </c>
      <c r="F69">
        <v>81.521195652173901</v>
      </c>
      <c r="G69">
        <v>0.5</v>
      </c>
    </row>
    <row r="70" spans="1:7">
      <c r="A70" s="11">
        <v>44197</v>
      </c>
      <c r="B70">
        <v>3.5706819462418831</v>
      </c>
      <c r="C70">
        <v>3.2480885682855178</v>
      </c>
      <c r="D70" s="14">
        <v>0.3</v>
      </c>
      <c r="E70">
        <v>10.78104264998928</v>
      </c>
      <c r="F70">
        <v>79.17</v>
      </c>
      <c r="G70">
        <v>0.5</v>
      </c>
    </row>
    <row r="71" spans="1:7">
      <c r="A71" s="11">
        <v>44287</v>
      </c>
      <c r="B71">
        <v>3.7433934299183398</v>
      </c>
      <c r="C71">
        <v>3.24699540757844</v>
      </c>
      <c r="D71" s="14">
        <v>0.30666666666666698</v>
      </c>
      <c r="E71">
        <v>10.79163830850138</v>
      </c>
      <c r="F71">
        <v>82.450879120879094</v>
      </c>
      <c r="G71">
        <v>0.5</v>
      </c>
    </row>
    <row r="72" spans="1:7">
      <c r="A72" s="11">
        <v>44378</v>
      </c>
      <c r="B72">
        <v>4.4575427883674754</v>
      </c>
      <c r="C72">
        <v>3.948741670219202</v>
      </c>
      <c r="D72" s="14">
        <v>0.93</v>
      </c>
      <c r="E72">
        <v>10.8320311473472</v>
      </c>
      <c r="F72">
        <v>63.542934782608697</v>
      </c>
      <c r="G72">
        <v>0.96031746031746035</v>
      </c>
    </row>
    <row r="73" spans="1:7">
      <c r="A73" s="11">
        <v>44470</v>
      </c>
      <c r="B73">
        <v>6.6153645676961137</v>
      </c>
      <c r="C73">
        <v>4.5967456830559534</v>
      </c>
      <c r="D73" s="14">
        <v>2.79</v>
      </c>
      <c r="E73">
        <v>10.855677658360809</v>
      </c>
      <c r="F73">
        <v>33.8683695652173</v>
      </c>
      <c r="G73">
        <v>2.8214285714285698</v>
      </c>
    </row>
    <row r="74" spans="1:7">
      <c r="A74" s="11">
        <v>44562</v>
      </c>
      <c r="B74">
        <v>12.06911513222164</v>
      </c>
      <c r="C74">
        <v>6.7213539795508934</v>
      </c>
      <c r="D74" s="14">
        <v>5.09</v>
      </c>
      <c r="E74">
        <v>10.840880631156869</v>
      </c>
      <c r="F74">
        <v>29.423111111111101</v>
      </c>
      <c r="G74">
        <v>5.1149068322981366</v>
      </c>
    </row>
    <row r="75" spans="1:7">
      <c r="A75" s="11">
        <v>44652</v>
      </c>
      <c r="B75">
        <v>13.35846352171286</v>
      </c>
      <c r="C75">
        <v>9.1251215024995211</v>
      </c>
      <c r="D75" s="14">
        <v>7.9466666666666699</v>
      </c>
      <c r="E75">
        <v>10.837237459432091</v>
      </c>
      <c r="F75">
        <v>27.067032967032901</v>
      </c>
      <c r="G75">
        <v>7.9450757575757569</v>
      </c>
    </row>
    <row r="76" spans="1:7">
      <c r="A76" s="11">
        <v>44743</v>
      </c>
      <c r="B76">
        <v>10.607068465999101</v>
      </c>
      <c r="C76">
        <v>10.66250292190743</v>
      </c>
      <c r="D76" s="14">
        <v>10.016666666666699</v>
      </c>
      <c r="E76">
        <v>10.832983397440829</v>
      </c>
      <c r="F76">
        <v>26.901304347825999</v>
      </c>
      <c r="G76">
        <v>9.9095238095238098</v>
      </c>
    </row>
    <row r="77" spans="1:7">
      <c r="A77" s="11">
        <v>44835</v>
      </c>
      <c r="B77">
        <v>7.3991134012152626</v>
      </c>
      <c r="C77">
        <v>10.858440130287221</v>
      </c>
      <c r="D77" s="14">
        <v>11.223333333333301</v>
      </c>
      <c r="E77">
        <v>10.83397175601468</v>
      </c>
      <c r="F77">
        <v>14.0548913043478</v>
      </c>
      <c r="G77">
        <v>11.18859649122807</v>
      </c>
    </row>
    <row r="78" spans="1:7">
      <c r="A78" s="11">
        <v>44927</v>
      </c>
      <c r="B78">
        <v>11.464003563906489</v>
      </c>
      <c r="C78">
        <v>10.707162238208429</v>
      </c>
      <c r="D78" s="14">
        <v>11.25</v>
      </c>
      <c r="E78">
        <v>10.84093608889235</v>
      </c>
      <c r="F78">
        <v>11.2439130434782</v>
      </c>
      <c r="G78">
        <v>11.25</v>
      </c>
    </row>
    <row r="79" spans="1:7">
      <c r="A79" s="11">
        <v>45017</v>
      </c>
      <c r="B79">
        <v>9.6481506541967086</v>
      </c>
      <c r="C79">
        <v>9.7795840213293914</v>
      </c>
      <c r="D79" s="14">
        <v>11.25</v>
      </c>
      <c r="E79">
        <v>10.83471054182858</v>
      </c>
      <c r="F79">
        <v>8.4329347826086902</v>
      </c>
      <c r="G79">
        <v>11.25</v>
      </c>
    </row>
    <row r="80" spans="1:7">
      <c r="A80" s="11">
        <v>45108</v>
      </c>
      <c r="B80">
        <v>1.687617259269492</v>
      </c>
      <c r="C80">
        <v>7.5497212196469876</v>
      </c>
      <c r="D80" s="14">
        <v>10.35</v>
      </c>
      <c r="E80">
        <v>10.83969596797971</v>
      </c>
      <c r="F80">
        <v>5.6219565217391203</v>
      </c>
      <c r="G80">
        <v>10.35693400167086</v>
      </c>
    </row>
    <row r="81" spans="1:7">
      <c r="A81" s="11">
        <v>45200</v>
      </c>
      <c r="B81">
        <v>1.4421234741342599</v>
      </c>
      <c r="C81">
        <v>6.0604737378767366</v>
      </c>
      <c r="D81" s="14">
        <v>9.14</v>
      </c>
      <c r="E81">
        <v>10.84165119751345</v>
      </c>
      <c r="F81">
        <v>2.8109782608695602</v>
      </c>
      <c r="G81">
        <v>9.0578947368421066</v>
      </c>
    </row>
    <row r="82" spans="1:7">
      <c r="D82" s="14"/>
    </row>
    <row r="83" spans="1:7">
      <c r="D83" s="14"/>
    </row>
    <row r="84" spans="1:7">
      <c r="D84" s="14"/>
    </row>
    <row r="85" spans="1:7">
      <c r="D85" s="14"/>
    </row>
    <row r="86" spans="1:7">
      <c r="D86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output.br</vt:lpstr>
      <vt:lpstr>output.co</vt:lpstr>
      <vt:lpstr>output.mx</vt:lpstr>
      <vt:lpstr>output.pe</vt:lpstr>
      <vt:lpstr>output.ch</vt:lpstr>
      <vt:lpstr>BRA Input Data</vt:lpstr>
      <vt:lpstr>COL Input Data</vt:lpstr>
      <vt:lpstr>MEX Input Data</vt:lpstr>
      <vt:lpstr>mex_truncated</vt:lpstr>
      <vt:lpstr>PER Input Data</vt:lpstr>
      <vt:lpstr>CHL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r* estimates</dc:title>
  <cp:lastModifiedBy>Temitope FAROTIMI</cp:lastModifiedBy>
  <dcterms:created xsi:type="dcterms:W3CDTF">2026-06-04T17:39:09Z</dcterms:created>
  <dcterms:modified xsi:type="dcterms:W3CDTF">2026-06-04T17:39:09Z</dcterms:modified>
</cp:coreProperties>
</file>